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471" documentId="11_77D7F8CFEFB5B4E2EEC1568F97B647076E5C66F0" xr6:coauthVersionLast="47" xr6:coauthVersionMax="47" xr10:uidLastSave="{4137F76E-75AE-436E-9730-F573F30E0ABF}"/>
  <bookViews>
    <workbookView xWindow="-120" yWindow="-120" windowWidth="29040" windowHeight="15720" activeTab="1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" i="5" l="1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BU32" i="2" s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3" i="5" a="1"/>
  <c r="C2" i="5" a="1"/>
  <c r="C2" i="5" s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21" i="2"/>
  <c r="BU44" i="2"/>
  <c r="BU46" i="2"/>
  <c r="BV22" i="2"/>
  <c r="BV40" i="2"/>
  <c r="BW22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BU7" i="2"/>
  <c r="BU37" i="2"/>
  <c r="BU39" i="2"/>
  <c r="BU18" i="2"/>
  <c r="BU10" i="2"/>
  <c r="BV48" i="2"/>
  <c r="BV20" i="2"/>
  <c r="BW43" i="2"/>
  <c r="BV7" i="2"/>
  <c r="BW27" i="2"/>
  <c r="BU41" i="2"/>
  <c r="BV30" i="2"/>
  <c r="BV18" i="2"/>
  <c r="BW48" i="2"/>
  <c r="BU20" i="2"/>
  <c r="BW9" i="2"/>
  <c r="BW18" i="2"/>
  <c r="BV19" i="2"/>
  <c r="BV8" i="2"/>
  <c r="BV6" i="2"/>
  <c r="BW8" i="2"/>
  <c r="BU22" i="2"/>
  <c r="BV11" i="2"/>
  <c r="BW19" i="2"/>
  <c r="BW20" i="2"/>
  <c r="BV16" i="2"/>
  <c r="BW13" i="2"/>
  <c r="BV28" i="2"/>
  <c r="BW39" i="2"/>
  <c r="BW31" i="2"/>
  <c r="BU45" i="2"/>
  <c r="BU38" i="2"/>
  <c r="BW16" i="2"/>
  <c r="BU6" i="2"/>
  <c r="BW28" i="2"/>
  <c r="BU30" i="2"/>
  <c r="BW30" i="2"/>
  <c r="BV45" i="2"/>
  <c r="BV38" i="2"/>
  <c r="BU27" i="2"/>
  <c r="BV42" i="2"/>
  <c r="BV29" i="2"/>
  <c r="BU23" i="2"/>
  <c r="BW46" i="2"/>
  <c r="BU34" i="2"/>
  <c r="BV10" i="2"/>
  <c r="BV3" i="2"/>
  <c r="BW3" i="2"/>
  <c r="BU25" i="2"/>
  <c r="BV27" i="2"/>
  <c r="BW42" i="2"/>
  <c r="BW29" i="2"/>
  <c r="BV34" i="2"/>
  <c r="BU48" i="2"/>
  <c r="BU49" i="2"/>
  <c r="BV17" i="2"/>
  <c r="BV41" i="2"/>
  <c r="BW14" i="2"/>
  <c r="BV9" i="2"/>
  <c r="BW33" i="2"/>
  <c r="BW45" i="2"/>
  <c r="BU12" i="2"/>
  <c r="BV47" i="2"/>
  <c r="BW10" i="2"/>
  <c r="BU4" i="2"/>
  <c r="BU13" i="2"/>
  <c r="BV37" i="2"/>
  <c r="BW44" i="2"/>
  <c r="BU26" i="2"/>
  <c r="BV12" i="2"/>
  <c r="BW47" i="2"/>
  <c r="BU24" i="2"/>
  <c r="BV4" i="2"/>
  <c r="BV13" i="2"/>
  <c r="BW37" i="2"/>
  <c r="BU2" i="2"/>
  <c r="BV26" i="2"/>
  <c r="BW12" i="2"/>
  <c r="BV24" i="2"/>
  <c r="BW4" i="2"/>
  <c r="BU42" i="2"/>
  <c r="BV39" i="2"/>
  <c r="BW32" i="2"/>
  <c r="BU9" i="2"/>
  <c r="BV46" i="2"/>
  <c r="BW5" i="2"/>
  <c r="BU11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B5" i="5"/>
  <c r="B4" i="5"/>
  <c r="C3" i="5"/>
  <c r="B3" i="5"/>
  <c r="B2" i="5"/>
  <c r="CF46" i="2" l="1"/>
  <c r="CF31" i="2"/>
  <c r="CF36" i="2"/>
  <c r="C5" i="5" a="1"/>
  <c r="C5" i="5" s="1"/>
  <c r="CF48" i="2"/>
  <c r="BU19" i="2"/>
  <c r="CF19" i="2" s="1"/>
  <c r="BW40" i="2"/>
  <c r="CF40" i="2" s="1"/>
  <c r="BV23" i="2"/>
  <c r="CF23" i="2" s="1"/>
  <c r="BW6" i="2"/>
  <c r="CF6" i="2" s="1"/>
  <c r="BW35" i="2"/>
  <c r="CF35" i="2" s="1"/>
  <c r="BW38" i="2"/>
  <c r="CF38" i="2" s="1"/>
  <c r="BV43" i="2"/>
  <c r="CF43" i="2" s="1"/>
  <c r="BV2" i="2"/>
  <c r="CF2" i="2" s="1"/>
  <c r="BW26" i="2"/>
  <c r="CF26" i="2" s="1"/>
  <c r="BW34" i="2"/>
  <c r="CF34" i="2" s="1"/>
  <c r="CF8" i="2"/>
  <c r="CF5" i="2"/>
  <c r="BU29" i="2"/>
  <c r="CF29" i="2" s="1"/>
  <c r="BW41" i="2"/>
  <c r="CF41" i="2" s="1"/>
  <c r="CF42" i="2"/>
  <c r="CF39" i="2"/>
  <c r="BV32" i="2"/>
  <c r="CF32" i="2" s="1"/>
  <c r="C4" i="5" a="1"/>
  <c r="C4" i="5" s="1"/>
  <c r="BV21" i="2"/>
  <c r="CF21" i="2" s="1"/>
  <c r="BV44" i="2"/>
  <c r="CF44" i="2" s="1"/>
  <c r="BW11" i="2"/>
  <c r="CF11" i="2" s="1"/>
  <c r="CF20" i="2"/>
  <c r="BW15" i="2"/>
  <c r="CF15" i="2" s="1"/>
  <c r="BW7" i="2"/>
  <c r="CF7" i="2" s="1"/>
  <c r="CF45" i="2"/>
  <c r="CF30" i="2"/>
  <c r="BU28" i="2"/>
  <c r="CF28" i="2" s="1"/>
  <c r="BU16" i="2"/>
  <c r="CF16" i="2" s="1"/>
  <c r="BV25" i="2"/>
  <c r="CF25" i="2" s="1"/>
  <c r="CF18" i="2"/>
  <c r="CF27" i="2"/>
  <c r="CF9" i="2"/>
  <c r="CF37" i="2"/>
  <c r="CF10" i="2"/>
  <c r="CF17" i="2"/>
  <c r="CF14" i="2"/>
  <c r="CF22" i="2"/>
  <c r="CF47" i="2"/>
  <c r="CF49" i="2"/>
  <c r="CF13" i="2"/>
  <c r="CF12" i="2"/>
  <c r="CF4" i="2"/>
  <c r="CF33" i="2"/>
  <c r="CF24" i="2"/>
  <c r="CF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<sst xmlns="http://schemas.openxmlformats.org/spreadsheetml/2006/main" count="3898" uniqueCount="298">
  <si>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</si>
  <si>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</si>
  <si>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</si>
  <si>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</si>
  <si>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</si>
  <si>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</si>
  <si>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</si>
  <si>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</si>
  <si>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</si>
  <si>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</si>
  <si>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</si>
  <si>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</si>
  <si>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</si>
  <si>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</si>
  <si>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</si>
  <si>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</si>
  <si>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</si>
  <si>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</si>
  <si>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</si>
  <si>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</si>
  <si>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</si>
  <si>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</si>
  <si>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</si>
  <si>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</si>
  <si>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</si>
  <si>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</si>
  <si>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</si>
  <si>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</si>
  <si>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</si>
  <si>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</si>
  <si>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</si>
  <si>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</si>
  <si>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</si>
  <si>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</si>
  <si>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</si>
  <si>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</si>
  <si>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</si>
  <si>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</si>
  <si>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</si>
  <si>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</si>
  <si>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</si>
  <si>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</si>
  <si>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</si>
  <si>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</si>
  <si>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</si>
  <si>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</si>
  <si>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</si>
  <si>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</si>
  <si>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</si>
  <si>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</si>
  <si>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</si>
  <si>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</si>
  <si>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</si>
  <si>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</si>
  <si>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</si>
  <si>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</si>
  <si>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</si>
  <si>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</si>
  <si>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</si>
  <si>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</si>
  <si>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</si>
  <si>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</si>
  <si>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</si>
  <si>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</si>
  <si>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</si>
  <si>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</si>
  <si>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</si>
  <si>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</si>
  <si>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</si>
  <si>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</si>
  <si>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</si>
  <si>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</si>
  <si>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</si>
  <si>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</si>
  <si>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</si>
  <si>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</si>
  <si>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</si>
  <si>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</si>
  <si>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</si>
  <si>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</si>
  <si>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</si>
  <si>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</si>
  <si>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</si>
  <si>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</si>
  <si>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</si>
  <si>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</si>
  <si>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</si>
  <si>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</si>
  <si>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</si>
  <si>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</si>
  <si>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</si>
  <si>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</si>
  <si>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</si>
  <si>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</si>
  <si>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</si>
  <si>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</si>
  <si>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</si>
  <si>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</si>
  <si>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</si>
  <si>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</si>
  <si>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</si>
  <si>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</si>
  <si>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</si>
  <si>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</si>
  <si>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</si>
  <si>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</si>
  <si>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</si>
  <si>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</si>
  <si>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</si>
  <si>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</si>
  <si>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</si>
  <si>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</si>
  <si>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</si>
  <si>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</si>
  <si>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</si>
  <si>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</si>
  <si>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</si>
  <si>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</si>
  <si>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</si>
  <si>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</si>
  <si>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</si>
  <si>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</si>
  <si>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</si>
  <si>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</si>
  <si>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</si>
  <si>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</si>
  <si>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</si>
  <si>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</si>
  <si>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</si>
  <si>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</si>
  <si>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</si>
  <si>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</si>
  <si>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</si>
  <si>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</si>
  <si>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</si>
  <si>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</si>
  <si>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</si>
  <si>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</si>
  <si>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</si>
  <si>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</si>
  <si>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</si>
  <si>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</si>
  <si>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</si>
  <si>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</si>
  <si>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</si>
  <si>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</si>
  <si>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</si>
  <si>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</si>
  <si>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</si>
  <si>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</si>
  <si>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</si>
  <si>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</si>
  <si>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</si>
  <si>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</si>
  <si>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</si>
  <si>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</si>
  <si>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</si>
  <si>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</si>
  <si>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</si>
  <si>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</si>
  <si>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</si>
  <si>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</si>
  <si>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</si>
  <si>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</si>
  <si>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</si>
  <si>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</si>
  <si>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</si>
  <si>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</si>
  <si>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</si>
  <si>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</si>
  <si>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</si>
  <si>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</si>
  <si>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</si>
  <si>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</si>
  <si>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</si>
  <si>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</si>
  <si>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</si>
  <si>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</si>
  <si>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</si>
  <si>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</si>
  <si>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</si>
  <si>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</si>
  <si>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</si>
  <si>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</si>
  <si>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</si>
  <si>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</si>
  <si>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</si>
  <si>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</si>
  <si>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</si>
  <si>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</si>
  <si>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</si>
  <si>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</si>
  <si>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</si>
  <si>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</si>
  <si>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</si>
  <si>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</si>
  <si>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</si>
  <si>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</si>
  <si>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</si>
  <si>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</si>
  <si>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</si>
  <si>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</si>
  <si>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</si>
  <si>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</si>
  <si>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</si>
  <si>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</si>
  <si>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</si>
  <si>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</si>
  <si>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</si>
  <si>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</si>
  <si>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</si>
  <si>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</si>
  <si>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</si>
  <si>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</si>
  <si>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</si>
  <si>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</si>
  <si>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</si>
  <si>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</si>
  <si>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</si>
  <si>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</si>
  <si>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</si>
  <si>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</si>
  <si>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</si>
  <si>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</si>
  <si>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</si>
  <si>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</si>
  <si>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</si>
  <si>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</si>
  <si>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</si>
  <si>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</si>
  <si>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</si>
  <si>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</si>
  <si>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</si>
  <si>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</si>
  <si>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</si>
  <si>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</si>
  <si>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</si>
  <si>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</si>
  <si>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</si>
  <si>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</si>
  <si>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</si>
  <si>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</si>
  <si>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</si>
  <si>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</si>
  <si>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</si>
  <si>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</si>
  <si>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</si>
  <si>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</si>
  <si>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</si>
  <si>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C</t>
  </si>
  <si>
    <t>Fase</t>
  </si>
  <si>
    <t>Partit</t>
  </si>
  <si>
    <t>Data</t>
  </si>
  <si>
    <t>Jornada 3</t>
  </si>
  <si>
    <t>Ecuador vs. Alemanya</t>
  </si>
  <si>
    <t>E</t>
  </si>
  <si>
    <t>Túnez vs. Països Baixos</t>
  </si>
  <si>
    <t>F</t>
  </si>
  <si>
    <t>Japón vs. Suecia</t>
  </si>
  <si>
    <t>Turquía vs. Estats Units</t>
  </si>
  <si>
    <t>D</t>
  </si>
  <si>
    <t>Paraguay vs. Australia</t>
  </si>
  <si>
    <t>Noruega vs. Francia</t>
  </si>
  <si>
    <t>I</t>
  </si>
  <si>
    <t>Senegal vs. Irak</t>
  </si>
  <si>
    <t>Uruguay vs. España</t>
  </si>
  <si>
    <t>H</t>
  </si>
  <si>
    <t>Cabo Verde vs. Arabia Saudita</t>
  </si>
  <si>
    <t>Nueva Zelanda vs. Bélgica</t>
  </si>
  <si>
    <t>G</t>
  </si>
  <si>
    <t>Egipto vs. Irán</t>
  </si>
  <si>
    <t>Panamá vs. Inglaterra</t>
  </si>
  <si>
    <t>L</t>
  </si>
  <si>
    <t>Croacia vs. Ghana</t>
  </si>
  <si>
    <t>Colombia vs. Portugal</t>
  </si>
  <si>
    <t>K</t>
  </si>
  <si>
    <t>RD Congo vs. Uzbekistán</t>
  </si>
  <si>
    <t>Jordania vs. Argentina</t>
  </si>
  <si>
    <t>J</t>
  </si>
  <si>
    <t>Argelia vs. Austria</t>
  </si>
  <si>
    <t>Hora</t>
  </si>
  <si>
    <t>Resultat</t>
  </si>
  <si>
    <t>Bòsnia i Hercegovina vs. Qatar</t>
  </si>
  <si>
    <t>B</t>
  </si>
  <si>
    <t>Suïssa vs. Canadà</t>
  </si>
  <si>
    <t>Escòcia vs. Brasil</t>
  </si>
  <si>
    <t>0 - 3</t>
  </si>
  <si>
    <t>Marroc vs. Haití</t>
  </si>
  <si>
    <t>Sud-àfrica vs. Corea del Sud</t>
  </si>
  <si>
    <t>1 - 0</t>
  </si>
  <si>
    <t>A</t>
  </si>
  <si>
    <t>República Txeca vs. Mèxic</t>
  </si>
  <si>
    <t>2-1</t>
  </si>
  <si>
    <t>0-3</t>
  </si>
  <si>
    <t>4-2</t>
  </si>
  <si>
    <t>Curaçao vs. Costa de Marfil</t>
  </si>
  <si>
    <t>0-2</t>
  </si>
  <si>
    <t>1-1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</si>
</sst>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14" fontId="0" fillId="0" borderId="2" xfId="0" applyNumberFormat="1" applyBorder="1"/>
    <xf numFmtId="20" fontId="3" fillId="0" borderId="2" xfId="0" applyNumberFormat="1" applyFont="1" applyBorder="1"/>
    <xf numFmtId="16" fontId="0" fillId="0" borderId="2" xfId="0" quotePrefix="1" applyNumberFormat="1" applyBorder="1"/>
    <xf numFmtId="0" fontId="0" fillId="0" borderId="2" xfId="0" quotePrefix="1" applyBorder="1"/>
    <xf numFmtId="20" fontId="0" fillId="0" borderId="2" xfId="0" applyNumberFormat="1" applyBorder="1"/>
    <xf numFmtId="0" fontId="0" fillId="11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6.49204571759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2"/>
    </cacheField>
    <cacheField name="Punts Grups 2n" numFmtId="0">
      <sharedItems containsSemiMixedTypes="0" containsString="0" containsNumber="1" containsInteger="1" minValue="11" maxValue="18"/>
    </cacheField>
    <cacheField name="Punts Grups 3r" numFmtId="0">
      <sharedItems containsSemiMixedTypes="0" containsString="0" containsNumber="1" minValue="6.5" maxValue="15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4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38.5" maxValue="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1"/>
    <n v="13"/>
    <n v="11.5"/>
    <n v="0"/>
    <n v="0"/>
    <n v="0"/>
    <n v="0"/>
    <n v="0"/>
    <n v="0"/>
    <n v="2"/>
    <n v="0"/>
    <n v="47.5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1"/>
    <n v="16"/>
    <n v="11"/>
    <n v="0"/>
    <n v="0"/>
    <n v="0"/>
    <n v="0"/>
    <n v="0"/>
    <n v="0"/>
    <n v="4"/>
    <n v="0"/>
    <n v="52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1"/>
    <n v="14"/>
    <n v="7.5"/>
    <n v="0"/>
    <n v="0"/>
    <n v="0"/>
    <n v="0"/>
    <n v="0"/>
    <n v="0"/>
    <n v="0"/>
    <n v="0"/>
    <n v="42.5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8"/>
    <n v="12"/>
    <n v="0"/>
    <n v="0"/>
    <n v="0"/>
    <n v="0"/>
    <n v="0"/>
    <n v="0"/>
    <n v="4"/>
    <n v="0"/>
    <n v="56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9"/>
    <n v="15"/>
    <n v="11.5"/>
    <n v="0"/>
    <n v="0"/>
    <n v="0"/>
    <n v="0"/>
    <n v="0"/>
    <n v="0"/>
    <n v="4"/>
    <n v="0"/>
    <n v="49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1"/>
    <n v="15"/>
    <n v="11"/>
    <n v="0"/>
    <n v="0"/>
    <n v="0"/>
    <n v="0"/>
    <n v="0"/>
    <n v="0"/>
    <n v="4"/>
    <n v="0"/>
    <n v="51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0"/>
    <n v="12"/>
    <n v="6.5"/>
    <n v="0"/>
    <n v="0"/>
    <n v="0"/>
    <n v="0"/>
    <n v="0"/>
    <n v="0"/>
    <n v="0"/>
    <n v="0"/>
    <n v="3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7"/>
    <n v="14"/>
    <n v="12.5"/>
    <n v="0"/>
    <n v="0"/>
    <n v="0"/>
    <n v="0"/>
    <n v="0"/>
    <n v="0"/>
    <n v="4"/>
    <n v="0"/>
    <n v="47.5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4"/>
    <n v="0"/>
    <n v="0"/>
    <n v="0"/>
    <n v="0"/>
    <n v="0"/>
    <n v="0"/>
    <n v="4"/>
    <n v="0"/>
    <n v="54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9"/>
    <n v="17"/>
    <n v="8"/>
    <n v="0"/>
    <n v="0"/>
    <n v="0"/>
    <n v="0"/>
    <n v="0"/>
    <n v="0"/>
    <n v="4"/>
    <n v="0"/>
    <n v="48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6"/>
    <n v="15"/>
    <n v="11"/>
    <n v="0"/>
    <n v="0"/>
    <n v="0"/>
    <n v="0"/>
    <n v="0"/>
    <n v="0"/>
    <n v="4"/>
    <n v="0"/>
    <n v="46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9"/>
    <n v="15"/>
    <n v="10.5"/>
    <n v="0"/>
    <n v="0"/>
    <n v="0"/>
    <n v="0"/>
    <n v="0"/>
    <n v="0"/>
    <n v="4"/>
    <n v="0"/>
    <n v="48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1"/>
    <n v="13"/>
    <n v="12.5"/>
    <n v="0"/>
    <n v="0"/>
    <n v="0"/>
    <n v="0"/>
    <n v="0"/>
    <n v="0"/>
    <n v="0"/>
    <n v="0"/>
    <n v="46.5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0"/>
    <n v="17"/>
    <n v="12.5"/>
    <n v="0"/>
    <n v="0"/>
    <n v="0"/>
    <n v="0"/>
    <n v="0"/>
    <n v="0"/>
    <n v="0"/>
    <n v="0"/>
    <n v="4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2"/>
    <n v="15"/>
    <n v="10.5"/>
    <n v="0"/>
    <n v="0"/>
    <n v="0"/>
    <n v="0"/>
    <n v="0"/>
    <n v="0"/>
    <n v="0"/>
    <n v="0"/>
    <n v="47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20"/>
    <n v="11"/>
    <n v="10.5"/>
    <n v="0"/>
    <n v="0"/>
    <n v="0"/>
    <n v="0"/>
    <n v="0"/>
    <n v="0"/>
    <n v="4"/>
    <n v="0"/>
    <n v="45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9"/>
    <n v="13"/>
    <n v="8.5"/>
    <n v="0"/>
    <n v="0"/>
    <n v="0"/>
    <n v="0"/>
    <n v="0"/>
    <n v="0"/>
    <n v="4"/>
    <n v="0"/>
    <n v="44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0"/>
    <n v="13"/>
    <n v="11.5"/>
    <n v="0"/>
    <n v="0"/>
    <n v="0"/>
    <n v="0"/>
    <n v="0"/>
    <n v="0"/>
    <n v="2"/>
    <n v="0"/>
    <n v="46.5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9"/>
    <n v="12"/>
    <n v="11"/>
    <n v="0"/>
    <n v="0"/>
    <n v="0"/>
    <n v="0"/>
    <n v="0"/>
    <n v="0"/>
    <n v="4"/>
    <n v="0"/>
    <n v="46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9"/>
    <n v="15"/>
    <n v="12"/>
    <n v="0"/>
    <n v="0"/>
    <n v="0"/>
    <n v="0"/>
    <n v="0"/>
    <n v="0"/>
    <n v="4"/>
    <n v="0"/>
    <n v="50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3"/>
    <n v="10.5"/>
    <n v="0"/>
    <n v="0"/>
    <n v="0"/>
    <n v="0"/>
    <n v="0"/>
    <n v="0"/>
    <n v="4"/>
    <n v="0"/>
    <n v="46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3"/>
    <n v="10.5"/>
    <n v="0"/>
    <n v="0"/>
    <n v="0"/>
    <n v="0"/>
    <n v="0"/>
    <n v="0"/>
    <n v="2"/>
    <n v="0"/>
    <n v="4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1"/>
    <n v="17"/>
    <n v="14"/>
    <n v="0"/>
    <n v="0"/>
    <n v="0"/>
    <n v="0"/>
    <n v="0"/>
    <n v="0"/>
    <n v="4"/>
    <n v="0"/>
    <n v="56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3"/>
    <n v="10.5"/>
    <n v="0"/>
    <n v="0"/>
    <n v="0"/>
    <n v="0"/>
    <n v="0"/>
    <n v="0"/>
    <n v="0"/>
    <n v="0"/>
    <n v="4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0"/>
    <n v="15"/>
    <n v="9"/>
    <n v="0"/>
    <n v="0"/>
    <n v="0"/>
    <n v="0"/>
    <n v="0"/>
    <n v="0"/>
    <n v="4"/>
    <n v="0"/>
    <n v="48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8"/>
    <n v="15"/>
    <n v="12"/>
    <n v="0"/>
    <n v="0"/>
    <n v="0"/>
    <n v="0"/>
    <n v="0"/>
    <n v="0"/>
    <n v="2"/>
    <n v="0"/>
    <n v="47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1"/>
    <n v="0"/>
    <n v="0"/>
    <n v="0"/>
    <n v="0"/>
    <n v="0"/>
    <n v="0"/>
    <n v="4"/>
    <n v="0"/>
    <n v="47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1"/>
    <n v="11"/>
    <n v="0"/>
    <n v="0"/>
    <n v="0"/>
    <n v="0"/>
    <n v="0"/>
    <n v="0"/>
    <n v="4"/>
    <n v="0"/>
    <n v="48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8"/>
    <n v="13"/>
    <n v="9.5"/>
    <n v="0"/>
    <n v="0"/>
    <n v="0"/>
    <n v="0"/>
    <n v="0"/>
    <n v="0"/>
    <n v="2"/>
    <n v="0"/>
    <n v="42.5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2.5"/>
    <n v="0"/>
    <n v="0"/>
    <n v="0"/>
    <n v="0"/>
    <n v="0"/>
    <n v="0"/>
    <n v="4"/>
    <n v="0"/>
    <n v="50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6"/>
    <n v="9.5"/>
    <n v="0"/>
    <n v="0"/>
    <n v="0"/>
    <n v="0"/>
    <n v="0"/>
    <n v="0"/>
    <n v="4"/>
    <n v="0"/>
    <n v="51.5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9"/>
    <n v="15"/>
    <n v="12"/>
    <n v="0"/>
    <n v="0"/>
    <n v="0"/>
    <n v="0"/>
    <n v="0"/>
    <n v="0"/>
    <n v="2"/>
    <n v="0"/>
    <n v="48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1"/>
    <n v="16"/>
    <n v="9"/>
    <n v="0"/>
    <n v="0"/>
    <n v="0"/>
    <n v="0"/>
    <n v="0"/>
    <n v="0"/>
    <n v="4"/>
    <n v="0"/>
    <n v="50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8"/>
    <n v="14"/>
    <n v="15.5"/>
    <n v="0"/>
    <n v="0"/>
    <n v="0"/>
    <n v="0"/>
    <n v="0"/>
    <n v="0"/>
    <n v="2"/>
    <n v="0"/>
    <n v="49.5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8"/>
    <n v="13"/>
    <n v="15"/>
    <n v="0"/>
    <n v="0"/>
    <n v="0"/>
    <n v="0"/>
    <n v="0"/>
    <n v="0"/>
    <n v="2"/>
    <n v="0"/>
    <n v="48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8"/>
    <n v="15"/>
    <n v="10"/>
    <n v="0"/>
    <n v="0"/>
    <n v="0"/>
    <n v="0"/>
    <n v="0"/>
    <n v="0"/>
    <n v="0"/>
    <n v="0"/>
    <n v="43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9"/>
    <n v="14"/>
    <n v="12.5"/>
    <n v="0"/>
    <n v="0"/>
    <n v="0"/>
    <n v="0"/>
    <n v="0"/>
    <n v="0"/>
    <n v="4"/>
    <n v="0"/>
    <n v="49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8"/>
    <n v="13"/>
    <n v="11"/>
    <n v="0"/>
    <n v="0"/>
    <n v="0"/>
    <n v="0"/>
    <n v="0"/>
    <n v="0"/>
    <n v="0"/>
    <n v="0"/>
    <n v="42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7"/>
    <n v="13"/>
    <n v="11.5"/>
    <n v="0"/>
    <n v="0"/>
    <n v="0"/>
    <n v="0"/>
    <n v="0"/>
    <n v="0"/>
    <n v="4"/>
    <n v="0"/>
    <n v="45.5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1"/>
    <n v="16"/>
    <n v="8"/>
    <n v="0"/>
    <n v="0"/>
    <n v="0"/>
    <n v="0"/>
    <n v="0"/>
    <n v="0"/>
    <n v="0"/>
    <n v="0"/>
    <n v="45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7"/>
    <n v="11.5"/>
    <n v="0"/>
    <n v="0"/>
    <n v="0"/>
    <n v="0"/>
    <n v="0"/>
    <n v="0"/>
    <n v="4"/>
    <n v="0"/>
    <n v="54.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9"/>
    <n v="14"/>
    <n v="13.5"/>
    <n v="0"/>
    <n v="0"/>
    <n v="0"/>
    <n v="0"/>
    <n v="0"/>
    <n v="0"/>
    <n v="2"/>
    <n v="0"/>
    <n v="48.5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0"/>
    <n v="15"/>
    <n v="14.5"/>
    <n v="0"/>
    <n v="0"/>
    <n v="0"/>
    <n v="0"/>
    <n v="0"/>
    <n v="0"/>
    <n v="4"/>
    <n v="0"/>
    <n v="53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9"/>
    <n v="14"/>
    <n v="14"/>
    <n v="0"/>
    <n v="0"/>
    <n v="0"/>
    <n v="0"/>
    <n v="0"/>
    <n v="0"/>
    <n v="2"/>
    <n v="0"/>
    <n v="49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1"/>
    <n v="16"/>
    <n v="15"/>
    <n v="0"/>
    <n v="0"/>
    <n v="0"/>
    <n v="0"/>
    <n v="0"/>
    <n v="0"/>
    <n v="0"/>
    <n v="0"/>
    <n v="52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8"/>
    <n v="11"/>
    <n v="12"/>
    <n v="0"/>
    <n v="0"/>
    <n v="0"/>
    <n v="0"/>
    <n v="0"/>
    <n v="0"/>
    <n v="0"/>
    <n v="0"/>
    <n v="41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8"/>
    <n v="10.5"/>
    <n v="0"/>
    <n v="0"/>
    <n v="0"/>
    <n v="0"/>
    <n v="0"/>
    <n v="0"/>
    <n v="4"/>
    <n v="0"/>
    <n v="53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6"/>
    <n v="7.5"/>
    <n v="0"/>
    <n v="0"/>
    <n v="0"/>
    <n v="0"/>
    <n v="0"/>
    <n v="0"/>
    <n v="0"/>
    <n v="0"/>
    <n v="44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35"/>
    </i>
    <i>
      <x v="26"/>
    </i>
    <i>
      <x v="7"/>
    </i>
    <i>
      <x v="10"/>
    </i>
    <i>
      <x v="24"/>
    </i>
    <i>
      <x v="5"/>
    </i>
    <i>
      <x v="6"/>
    </i>
    <i>
      <x v="47"/>
    </i>
    <i>
      <x v="16"/>
    </i>
    <i>
      <x v="39"/>
    </i>
    <i>
      <x v="53"/>
    </i>
    <i>
      <x v="14"/>
    </i>
    <i>
      <x v="30"/>
    </i>
    <i>
      <x v="2"/>
    </i>
    <i>
      <x v="1"/>
    </i>
    <i>
      <x v="41"/>
    </i>
    <i>
      <x v="45"/>
    </i>
    <i>
      <x v="28"/>
    </i>
    <i>
      <x/>
    </i>
    <i>
      <x v="31"/>
    </i>
    <i>
      <x v="12"/>
    </i>
    <i>
      <x v="38"/>
    </i>
    <i>
      <x v="40"/>
    </i>
    <i>
      <x v="33"/>
    </i>
    <i>
      <x v="27"/>
    </i>
    <i>
      <x v="49"/>
    </i>
    <i>
      <x v="11"/>
    </i>
    <i>
      <x v="8"/>
    </i>
    <i>
      <x v="34"/>
    </i>
    <i>
      <x v="22"/>
    </i>
    <i>
      <x v="48"/>
    </i>
    <i>
      <x v="46"/>
    </i>
    <i>
      <x v="15"/>
    </i>
    <i>
      <x v="9"/>
    </i>
    <i>
      <x v="20"/>
    </i>
    <i>
      <x v="32"/>
    </i>
    <i>
      <x v="21"/>
    </i>
    <i>
      <x v="42"/>
    </i>
    <i>
      <x v="13"/>
    </i>
    <i>
      <x v="50"/>
    </i>
    <i>
      <x v="51"/>
    </i>
    <i>
      <x v="19"/>
    </i>
    <i>
      <x v="52"/>
    </i>
    <i>
      <x v="37"/>
    </i>
    <i>
      <x v="25"/>
    </i>
    <i>
      <x v="17"/>
    </i>
    <i>
      <x v="18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opLeftCell="A19" workbookViewId="0">
      <selection activeCell="J19" sqref="J19"/>
    </sheetView>
  </sheetViews>
  <sheetFormatPr baseColWidth="10" defaultColWidth="9.140625" defaultRowHeight="15" x14ac:dyDescent="0.25"/>
  <cols>
    <col min="1" max="1" width="6.85546875" bestFit="1" customWidth="1"/>
    <col min="2" max="2" width="8.140625" bestFit="1" customWidth="1"/>
    <col min="3" max="3" width="18.5703125" bestFit="1" customWidth="1"/>
    <col min="5" max="5" width="19.42578125" bestFit="1" customWidth="1"/>
    <col min="6" max="6" width="8.140625" bestFit="1" customWidth="1"/>
    <col min="7" max="8" width="8" bestFit="1" customWidth="1"/>
    <col min="9" max="9" width="10.42578125" bestFit="1" customWidth="1"/>
    <col min="10" max="10" width="8.42578125" bestFit="1" customWidth="1"/>
    <col min="11" max="11" width="8" bestFit="1" customWidth="1"/>
    <col min="12" max="12" width="14.5703125" bestFit="1" customWidth="1"/>
    <col min="13" max="13" width="10" customWidth="1"/>
    <col min="14" max="14" width="20.5703125" bestFit="1" customWidth="1"/>
    <col min="15" max="15" width="8.140625" bestFit="1" customWidth="1"/>
    <col min="18" max="18" width="8.7109375" bestFit="1" customWidth="1"/>
    <col min="19" max="19" width="9.42578125" bestFit="1" customWidth="1"/>
    <col min="20" max="20" width="15.28515625" bestFit="1" customWidth="1"/>
  </cols>
  <sheetData>
    <row r="1" spans="1:15" x14ac:dyDescent="0.25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5">
      <c r="A2" s="24" t="s">
        <v>227</v>
      </c>
      <c r="B2" s="2" t="s">
        <v>228</v>
      </c>
      <c r="C2" s="3" t="s">
        <v>86</v>
      </c>
      <c r="E2" s="14" t="str">
        <f>+C2</f>
        <v>Mèxic</v>
      </c>
      <c r="F2" s="10" t="s">
        <v>229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5</v>
      </c>
    </row>
    <row r="3" spans="1:15" x14ac:dyDescent="0.25">
      <c r="A3" s="24" t="s">
        <v>227</v>
      </c>
      <c r="B3" s="2" t="s">
        <v>230</v>
      </c>
      <c r="C3" s="3" t="s">
        <v>131</v>
      </c>
      <c r="E3" s="14" t="str">
        <f>+C3</f>
        <v>Sud-àfrica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4</v>
      </c>
    </row>
    <row r="4" spans="1:15" x14ac:dyDescent="0.25">
      <c r="A4" s="24" t="s">
        <v>227</v>
      </c>
      <c r="B4" s="2" t="s">
        <v>231</v>
      </c>
      <c r="C4" s="16" t="s">
        <v>98</v>
      </c>
      <c r="E4" s="14" t="str">
        <f>+C5</f>
        <v>Suïssa</v>
      </c>
      <c r="F4" s="10" t="s">
        <v>229</v>
      </c>
      <c r="G4" s="10" t="s">
        <v>229</v>
      </c>
      <c r="H4" s="10" t="s">
        <v>229</v>
      </c>
      <c r="N4" t="s">
        <v>129</v>
      </c>
      <c r="O4" s="3">
        <v>4</v>
      </c>
    </row>
    <row r="5" spans="1:15" x14ac:dyDescent="0.25">
      <c r="A5" s="24" t="s">
        <v>232</v>
      </c>
      <c r="B5" s="2" t="s">
        <v>228</v>
      </c>
      <c r="C5" s="3" t="s">
        <v>87</v>
      </c>
      <c r="E5" s="14" t="str">
        <f>+C6</f>
        <v>Canadà</v>
      </c>
      <c r="F5" s="10" t="s">
        <v>229</v>
      </c>
      <c r="G5" s="10" t="s">
        <v>229</v>
      </c>
      <c r="H5" s="10" t="s">
        <v>229</v>
      </c>
      <c r="N5" t="s">
        <v>167</v>
      </c>
      <c r="O5" s="3">
        <v>4</v>
      </c>
    </row>
    <row r="6" spans="1:15" x14ac:dyDescent="0.25">
      <c r="A6" s="24" t="s">
        <v>232</v>
      </c>
      <c r="B6" s="2" t="s">
        <v>230</v>
      </c>
      <c r="C6" s="3" t="s">
        <v>99</v>
      </c>
      <c r="E6" s="14" t="str">
        <f>+C8</f>
        <v>Brasil</v>
      </c>
      <c r="F6" s="10" t="s">
        <v>229</v>
      </c>
      <c r="G6" s="10" t="s">
        <v>229</v>
      </c>
      <c r="N6" t="s">
        <v>155</v>
      </c>
      <c r="O6" s="3">
        <v>2</v>
      </c>
    </row>
    <row r="7" spans="1:15" x14ac:dyDescent="0.25">
      <c r="A7" s="24" t="s">
        <v>232</v>
      </c>
      <c r="B7" s="2" t="s">
        <v>231</v>
      </c>
      <c r="C7" s="16" t="s">
        <v>246</v>
      </c>
      <c r="E7" s="14" t="str">
        <f>+C9</f>
        <v>Marroc</v>
      </c>
      <c r="F7" s="10" t="s">
        <v>229</v>
      </c>
      <c r="G7" s="10" t="s">
        <v>229</v>
      </c>
      <c r="N7" t="s">
        <v>123</v>
      </c>
      <c r="O7" s="3">
        <v>2</v>
      </c>
    </row>
    <row r="8" spans="1:15" x14ac:dyDescent="0.25">
      <c r="A8" s="24" t="s">
        <v>233</v>
      </c>
      <c r="B8" s="2" t="s">
        <v>228</v>
      </c>
      <c r="C8" s="3" t="s">
        <v>88</v>
      </c>
      <c r="E8" s="14" t="str">
        <f>+C11</f>
        <v>Estats Units</v>
      </c>
      <c r="F8" s="10" t="s">
        <v>229</v>
      </c>
      <c r="G8" s="10" t="s">
        <v>229</v>
      </c>
      <c r="N8" t="s">
        <v>195</v>
      </c>
      <c r="O8" s="3">
        <v>0</v>
      </c>
    </row>
    <row r="9" spans="1:15" x14ac:dyDescent="0.25">
      <c r="A9" s="24" t="s">
        <v>233</v>
      </c>
      <c r="B9" s="2" t="s">
        <v>230</v>
      </c>
      <c r="C9" s="3" t="s">
        <v>100</v>
      </c>
      <c r="E9" s="14" t="str">
        <f>+C12</f>
        <v>Austràlia</v>
      </c>
      <c r="F9" s="10" t="s">
        <v>229</v>
      </c>
      <c r="G9" s="10" t="s">
        <v>229</v>
      </c>
      <c r="N9" t="s">
        <v>212</v>
      </c>
      <c r="O9" s="3">
        <v>0</v>
      </c>
    </row>
    <row r="10" spans="1:15" x14ac:dyDescent="0.25">
      <c r="A10" s="24" t="s">
        <v>233</v>
      </c>
      <c r="B10" s="2" t="s">
        <v>231</v>
      </c>
      <c r="C10" s="16" t="s">
        <v>112</v>
      </c>
      <c r="E10" s="14" t="str">
        <f>+C14</f>
        <v>Alemanya</v>
      </c>
      <c r="F10" s="10" t="s">
        <v>229</v>
      </c>
      <c r="N10" t="s">
        <v>146</v>
      </c>
      <c r="O10" s="3">
        <v>0</v>
      </c>
    </row>
    <row r="11" spans="1:15" x14ac:dyDescent="0.25">
      <c r="A11" s="24" t="s">
        <v>234</v>
      </c>
      <c r="B11" s="2" t="s">
        <v>228</v>
      </c>
      <c r="C11" s="3" t="s">
        <v>89</v>
      </c>
      <c r="E11" s="14" t="str">
        <f>+C15</f>
        <v>Costa d'Ivori</v>
      </c>
      <c r="F11" s="10" t="s">
        <v>229</v>
      </c>
      <c r="N11" t="s">
        <v>122</v>
      </c>
      <c r="O11" s="3">
        <v>0</v>
      </c>
    </row>
    <row r="12" spans="1:15" x14ac:dyDescent="0.25">
      <c r="A12" s="24" t="s">
        <v>234</v>
      </c>
      <c r="B12" s="2" t="s">
        <v>230</v>
      </c>
      <c r="C12" s="3" t="s">
        <v>127</v>
      </c>
      <c r="E12" s="14" t="str">
        <f>+C17</f>
        <v>Països Baixos</v>
      </c>
      <c r="F12" s="10" t="s">
        <v>229</v>
      </c>
      <c r="N12" t="s">
        <v>134</v>
      </c>
      <c r="O12" s="3">
        <v>0</v>
      </c>
    </row>
    <row r="13" spans="1:15" x14ac:dyDescent="0.25">
      <c r="A13" s="24" t="s">
        <v>234</v>
      </c>
      <c r="B13" s="2" t="s">
        <v>231</v>
      </c>
      <c r="C13" s="16" t="s">
        <v>113</v>
      </c>
      <c r="E13" s="14" t="str">
        <f>+C18</f>
        <v>Japó</v>
      </c>
      <c r="F13" s="10" t="s">
        <v>229</v>
      </c>
      <c r="N13" t="s">
        <v>133</v>
      </c>
      <c r="O13" s="3">
        <v>0</v>
      </c>
    </row>
    <row r="14" spans="1:15" x14ac:dyDescent="0.25">
      <c r="A14" s="24" t="s">
        <v>235</v>
      </c>
      <c r="B14" s="2" t="s">
        <v>228</v>
      </c>
      <c r="C14" s="3" t="s">
        <v>90</v>
      </c>
      <c r="E14" s="14" t="str">
        <f>+C20</f>
        <v>Egipte</v>
      </c>
      <c r="F14" s="10" t="s">
        <v>229</v>
      </c>
      <c r="N14" t="s">
        <v>201</v>
      </c>
      <c r="O14" s="3">
        <v>0</v>
      </c>
    </row>
    <row r="15" spans="1:15" x14ac:dyDescent="0.25">
      <c r="A15" s="24" t="s">
        <v>235</v>
      </c>
      <c r="B15" s="2" t="s">
        <v>230</v>
      </c>
      <c r="C15" s="3" t="s">
        <v>114</v>
      </c>
      <c r="E15" s="14" t="str">
        <f>+C21</f>
        <v>Iran</v>
      </c>
      <c r="F15" s="10" t="s">
        <v>229</v>
      </c>
    </row>
    <row r="16" spans="1:15" x14ac:dyDescent="0.25">
      <c r="A16" s="24" t="s">
        <v>235</v>
      </c>
      <c r="B16" s="2" t="s">
        <v>231</v>
      </c>
      <c r="C16" s="16" t="s">
        <v>102</v>
      </c>
      <c r="E16" s="14" t="str">
        <f>+C23</f>
        <v>Espanya</v>
      </c>
      <c r="F16" s="10" t="s">
        <v>229</v>
      </c>
    </row>
    <row r="17" spans="1:6" x14ac:dyDescent="0.25">
      <c r="A17" s="24" t="s">
        <v>236</v>
      </c>
      <c r="B17" s="2" t="s">
        <v>228</v>
      </c>
      <c r="C17" s="3" t="s">
        <v>91</v>
      </c>
      <c r="E17" s="14" t="str">
        <f>+C24</f>
        <v>Uruguai</v>
      </c>
      <c r="F17" s="10" t="s">
        <v>229</v>
      </c>
    </row>
    <row r="18" spans="1:6" x14ac:dyDescent="0.25">
      <c r="A18" s="24" t="s">
        <v>236</v>
      </c>
      <c r="B18" s="2" t="s">
        <v>230</v>
      </c>
      <c r="C18" s="3" t="s">
        <v>115</v>
      </c>
      <c r="E18" s="14" t="str">
        <f>+C26</f>
        <v>França</v>
      </c>
    </row>
    <row r="19" spans="1:6" x14ac:dyDescent="0.25">
      <c r="A19" s="24" t="s">
        <v>236</v>
      </c>
      <c r="B19" s="2" t="s">
        <v>231</v>
      </c>
      <c r="C19" s="16" t="s">
        <v>103</v>
      </c>
      <c r="E19" s="14" t="str">
        <f>+C27</f>
        <v>Noruega</v>
      </c>
    </row>
    <row r="20" spans="1:6" x14ac:dyDescent="0.25">
      <c r="A20" s="2" t="s">
        <v>237</v>
      </c>
      <c r="B20" s="2" t="s">
        <v>228</v>
      </c>
      <c r="C20" s="3" t="s">
        <v>104</v>
      </c>
      <c r="E20" s="14" t="str">
        <f>+C29</f>
        <v>Argentina</v>
      </c>
    </row>
    <row r="21" spans="1:6" x14ac:dyDescent="0.25">
      <c r="A21" s="2" t="s">
        <v>237</v>
      </c>
      <c r="B21" s="2" t="s">
        <v>230</v>
      </c>
      <c r="C21" s="3" t="s">
        <v>116</v>
      </c>
      <c r="E21" s="14" t="str">
        <f>+C30</f>
        <v>Àustria</v>
      </c>
    </row>
    <row r="22" spans="1:6" x14ac:dyDescent="0.25">
      <c r="A22" s="2" t="s">
        <v>237</v>
      </c>
      <c r="B22" s="2" t="s">
        <v>231</v>
      </c>
      <c r="C22" s="16" t="s">
        <v>92</v>
      </c>
      <c r="E22" s="14" t="str">
        <f>+C32</f>
        <v>Colòmbia</v>
      </c>
    </row>
    <row r="23" spans="1:6" x14ac:dyDescent="0.25">
      <c r="A23" s="2" t="s">
        <v>238</v>
      </c>
      <c r="B23" s="2" t="s">
        <v>228</v>
      </c>
      <c r="C23" s="3" t="s">
        <v>93</v>
      </c>
      <c r="E23" s="14" t="str">
        <f>+C33</f>
        <v>Portugal</v>
      </c>
    </row>
    <row r="24" spans="1:6" x14ac:dyDescent="0.25">
      <c r="A24" s="2" t="s">
        <v>238</v>
      </c>
      <c r="B24" s="2" t="s">
        <v>230</v>
      </c>
      <c r="C24" s="3" t="s">
        <v>105</v>
      </c>
      <c r="E24" s="14" t="str">
        <f>+C35</f>
        <v>Anglaterra</v>
      </c>
    </row>
    <row r="25" spans="1:6" x14ac:dyDescent="0.25">
      <c r="A25" s="2" t="s">
        <v>238</v>
      </c>
      <c r="B25" s="2" t="s">
        <v>231</v>
      </c>
      <c r="C25" s="16" t="s">
        <v>143</v>
      </c>
      <c r="E25" s="14" t="str">
        <f>+C36</f>
        <v>Ghana</v>
      </c>
    </row>
    <row r="26" spans="1:6" x14ac:dyDescent="0.25">
      <c r="A26" s="2" t="s">
        <v>239</v>
      </c>
      <c r="B26" s="2" t="s">
        <v>228</v>
      </c>
      <c r="C26" s="3" t="s">
        <v>94</v>
      </c>
      <c r="E26" s="10" t="s">
        <v>98</v>
      </c>
      <c r="F26" s="3"/>
    </row>
    <row r="27" spans="1:6" x14ac:dyDescent="0.25">
      <c r="A27" s="2" t="s">
        <v>239</v>
      </c>
      <c r="B27" s="2" t="s">
        <v>230</v>
      </c>
      <c r="C27" s="3" t="s">
        <v>118</v>
      </c>
      <c r="E27" s="10" t="s">
        <v>246</v>
      </c>
    </row>
    <row r="28" spans="1:6" x14ac:dyDescent="0.25">
      <c r="A28" s="2" t="s">
        <v>239</v>
      </c>
      <c r="B28" s="2" t="s">
        <v>231</v>
      </c>
      <c r="C28" s="16" t="s">
        <v>106</v>
      </c>
      <c r="E28" s="10" t="s">
        <v>113</v>
      </c>
    </row>
    <row r="29" spans="1:6" x14ac:dyDescent="0.25">
      <c r="A29" s="2" t="s">
        <v>240</v>
      </c>
      <c r="B29" s="2" t="s">
        <v>228</v>
      </c>
      <c r="C29" s="3" t="s">
        <v>95</v>
      </c>
      <c r="E29" s="10" t="s">
        <v>102</v>
      </c>
    </row>
    <row r="30" spans="1:6" x14ac:dyDescent="0.25">
      <c r="A30" s="2" t="s">
        <v>240</v>
      </c>
      <c r="B30" s="2" t="s">
        <v>230</v>
      </c>
      <c r="C30" s="13" t="s">
        <v>107</v>
      </c>
      <c r="E30" s="10" t="s">
        <v>92</v>
      </c>
    </row>
    <row r="31" spans="1:6" x14ac:dyDescent="0.25">
      <c r="A31" s="2" t="s">
        <v>240</v>
      </c>
      <c r="B31" s="2" t="s">
        <v>231</v>
      </c>
      <c r="C31" s="17" t="s">
        <v>119</v>
      </c>
      <c r="E31" s="10" t="s">
        <v>119</v>
      </c>
    </row>
    <row r="32" spans="1:6" x14ac:dyDescent="0.25">
      <c r="A32" s="2" t="s">
        <v>241</v>
      </c>
      <c r="B32" s="2" t="s">
        <v>228</v>
      </c>
      <c r="C32" s="3" t="s">
        <v>108</v>
      </c>
      <c r="E32" s="10" t="s">
        <v>103</v>
      </c>
    </row>
    <row r="33" spans="1:5" x14ac:dyDescent="0.25">
      <c r="A33" s="2" t="s">
        <v>241</v>
      </c>
      <c r="B33" s="2" t="s">
        <v>230</v>
      </c>
      <c r="C33" s="3" t="s">
        <v>96</v>
      </c>
      <c r="E33" s="10" t="s">
        <v>109</v>
      </c>
    </row>
    <row r="34" spans="1:5" x14ac:dyDescent="0.25">
      <c r="A34" s="2" t="s">
        <v>241</v>
      </c>
      <c r="B34" s="2" t="s">
        <v>231</v>
      </c>
      <c r="C34" s="16" t="s">
        <v>128</v>
      </c>
    </row>
    <row r="35" spans="1:5" x14ac:dyDescent="0.25">
      <c r="A35" s="2" t="s">
        <v>242</v>
      </c>
      <c r="B35" s="2" t="s">
        <v>228</v>
      </c>
      <c r="C35" s="3" t="s">
        <v>97</v>
      </c>
    </row>
    <row r="36" spans="1:5" x14ac:dyDescent="0.25">
      <c r="A36" s="2" t="s">
        <v>242</v>
      </c>
      <c r="B36" s="2" t="s">
        <v>230</v>
      </c>
      <c r="C36" s="3" t="s">
        <v>121</v>
      </c>
    </row>
    <row r="37" spans="1:5" x14ac:dyDescent="0.25">
      <c r="A37" s="2" t="s">
        <v>242</v>
      </c>
      <c r="B37" s="2" t="s">
        <v>231</v>
      </c>
      <c r="C37" s="16" t="s">
        <v>109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F41"/>
  <sheetViews>
    <sheetView tabSelected="1" workbookViewId="0">
      <selection activeCell="F12" sqref="F12:F25"/>
    </sheetView>
  </sheetViews>
  <sheetFormatPr baseColWidth="10" defaultColWidth="11.28515625" defaultRowHeight="15" x14ac:dyDescent="0.25"/>
  <cols>
    <col min="1" max="1" width="9.28515625" bestFit="1" customWidth="1"/>
    <col min="2" max="2" width="27.7109375" bestFit="1" customWidth="1"/>
    <col min="5" max="5" width="5.28515625" bestFit="1" customWidth="1"/>
    <col min="6" max="6" width="23.140625" customWidth="1"/>
    <col min="10" max="10" width="51.7109375" customWidth="1"/>
  </cols>
  <sheetData>
    <row r="1" spans="1:6" x14ac:dyDescent="0.25">
      <c r="A1" s="18" t="s">
        <v>250</v>
      </c>
      <c r="B1" s="18" t="s">
        <v>251</v>
      </c>
      <c r="C1" s="18" t="s">
        <v>252</v>
      </c>
      <c r="D1" s="18" t="s">
        <v>280</v>
      </c>
      <c r="E1" s="18" t="s">
        <v>217</v>
      </c>
      <c r="F1" s="18" t="s">
        <v>281</v>
      </c>
    </row>
    <row r="2" spans="1:6" x14ac:dyDescent="0.25">
      <c r="A2" s="10" t="s">
        <v>253</v>
      </c>
      <c r="B2" s="10" t="s">
        <v>288</v>
      </c>
      <c r="C2" s="19">
        <v>46197</v>
      </c>
      <c r="D2" s="20">
        <v>0.75</v>
      </c>
      <c r="E2" s="10" t="s">
        <v>290</v>
      </c>
      <c r="F2" s="10" t="s">
        <v>289</v>
      </c>
    </row>
    <row r="3" spans="1:6" x14ac:dyDescent="0.25">
      <c r="A3" s="10" t="s">
        <v>253</v>
      </c>
      <c r="B3" s="10" t="s">
        <v>291</v>
      </c>
      <c r="C3" s="19">
        <v>46197</v>
      </c>
      <c r="D3" s="20">
        <v>0.75</v>
      </c>
      <c r="E3" s="10" t="s">
        <v>290</v>
      </c>
      <c r="F3" s="10" t="s">
        <v>286</v>
      </c>
    </row>
    <row r="4" spans="1:6" x14ac:dyDescent="0.25">
      <c r="A4" s="10" t="s">
        <v>253</v>
      </c>
      <c r="B4" s="10" t="s">
        <v>282</v>
      </c>
      <c r="C4" s="19">
        <v>46197</v>
      </c>
      <c r="D4" s="20">
        <v>0.875</v>
      </c>
      <c r="E4" s="10" t="s">
        <v>283</v>
      </c>
      <c r="F4" s="21" t="s">
        <v>216</v>
      </c>
    </row>
    <row r="5" spans="1:6" x14ac:dyDescent="0.25">
      <c r="A5" s="10" t="s">
        <v>253</v>
      </c>
      <c r="B5" s="10" t="s">
        <v>284</v>
      </c>
      <c r="C5" s="19">
        <v>46197</v>
      </c>
      <c r="D5" s="20">
        <v>0.875</v>
      </c>
      <c r="E5" s="10" t="s">
        <v>283</v>
      </c>
      <c r="F5" s="22" t="s">
        <v>292</v>
      </c>
    </row>
    <row r="6" spans="1:6" x14ac:dyDescent="0.25">
      <c r="A6" s="10" t="s">
        <v>253</v>
      </c>
      <c r="B6" s="10" t="s">
        <v>285</v>
      </c>
      <c r="C6" s="19">
        <v>46198</v>
      </c>
      <c r="D6" s="23">
        <v>0.125</v>
      </c>
      <c r="E6" s="10" t="s">
        <v>249</v>
      </c>
      <c r="F6" s="22" t="s">
        <v>293</v>
      </c>
    </row>
    <row r="7" spans="1:6" x14ac:dyDescent="0.25">
      <c r="A7" s="10" t="s">
        <v>253</v>
      </c>
      <c r="B7" s="10" t="s">
        <v>287</v>
      </c>
      <c r="C7" s="19">
        <v>46198</v>
      </c>
      <c r="D7" s="23">
        <v>0.125</v>
      </c>
      <c r="E7" s="10" t="s">
        <v>249</v>
      </c>
      <c r="F7" s="22" t="s">
        <v>294</v>
      </c>
    </row>
    <row r="8" spans="1:6" x14ac:dyDescent="0.25">
      <c r="A8" s="10" t="s">
        <v>253</v>
      </c>
      <c r="B8" s="10" t="s">
        <v>254</v>
      </c>
      <c r="C8" s="19">
        <v>46198</v>
      </c>
      <c r="D8" s="23">
        <v>0.91666666666666663</v>
      </c>
      <c r="E8" s="10" t="s">
        <v>255</v>
      </c>
      <c r="F8" s="21" t="s">
        <v>292</v>
      </c>
    </row>
    <row r="9" spans="1:6" x14ac:dyDescent="0.25">
      <c r="A9" s="10" t="s">
        <v>253</v>
      </c>
      <c r="B9" s="10" t="s">
        <v>295</v>
      </c>
      <c r="C9" s="19">
        <v>46198</v>
      </c>
      <c r="D9" s="23">
        <v>0.91666666666666663</v>
      </c>
      <c r="E9" s="10" t="s">
        <v>255</v>
      </c>
      <c r="F9" s="22" t="s">
        <v>296</v>
      </c>
    </row>
    <row r="10" spans="1:6" x14ac:dyDescent="0.25">
      <c r="A10" s="10" t="s">
        <v>253</v>
      </c>
      <c r="B10" s="10" t="s">
        <v>256</v>
      </c>
      <c r="C10" s="19">
        <v>46199</v>
      </c>
      <c r="D10" s="23">
        <v>4.1666666666666664E-2</v>
      </c>
      <c r="E10" s="10" t="s">
        <v>257</v>
      </c>
      <c r="F10" s="21" t="s">
        <v>149</v>
      </c>
    </row>
    <row r="11" spans="1:6" x14ac:dyDescent="0.25">
      <c r="A11" s="10" t="s">
        <v>253</v>
      </c>
      <c r="B11" s="10" t="s">
        <v>258</v>
      </c>
      <c r="C11" s="19">
        <v>46199</v>
      </c>
      <c r="D11" s="23">
        <v>4.1666666666666664E-2</v>
      </c>
      <c r="E11" s="10" t="s">
        <v>257</v>
      </c>
      <c r="F11" s="22" t="s">
        <v>297</v>
      </c>
    </row>
    <row r="12" spans="1:6" x14ac:dyDescent="0.25">
      <c r="A12" s="10" t="s">
        <v>253</v>
      </c>
      <c r="B12" s="10" t="s">
        <v>259</v>
      </c>
      <c r="C12" s="19">
        <v>46199</v>
      </c>
      <c r="D12" s="23">
        <v>0.16666666666666666</v>
      </c>
      <c r="E12" s="10" t="s">
        <v>260</v>
      </c>
      <c r="F12" s="10" t="s">
        <v>229</v>
      </c>
    </row>
    <row r="13" spans="1:6" x14ac:dyDescent="0.25">
      <c r="A13" s="10" t="s">
        <v>253</v>
      </c>
      <c r="B13" s="10" t="s">
        <v>261</v>
      </c>
      <c r="C13" s="19">
        <v>46199</v>
      </c>
      <c r="D13" s="23">
        <v>0.16666666666666666</v>
      </c>
      <c r="E13" s="10" t="s">
        <v>260</v>
      </c>
      <c r="F13" s="10" t="s">
        <v>229</v>
      </c>
    </row>
    <row r="14" spans="1:6" x14ac:dyDescent="0.25">
      <c r="A14" s="10" t="s">
        <v>253</v>
      </c>
      <c r="B14" s="10" t="s">
        <v>262</v>
      </c>
      <c r="C14" s="19">
        <v>46199</v>
      </c>
      <c r="D14" s="23">
        <v>0.875</v>
      </c>
      <c r="E14" s="10" t="s">
        <v>263</v>
      </c>
      <c r="F14" s="10" t="s">
        <v>229</v>
      </c>
    </row>
    <row r="15" spans="1:6" x14ac:dyDescent="0.25">
      <c r="A15" s="10" t="s">
        <v>253</v>
      </c>
      <c r="B15" s="10" t="s">
        <v>264</v>
      </c>
      <c r="C15" s="19">
        <v>46199</v>
      </c>
      <c r="D15" s="23">
        <v>0.875</v>
      </c>
      <c r="E15" s="10" t="s">
        <v>263</v>
      </c>
      <c r="F15" s="10" t="s">
        <v>229</v>
      </c>
    </row>
    <row r="16" spans="1:6" x14ac:dyDescent="0.25">
      <c r="A16" s="10" t="s">
        <v>253</v>
      </c>
      <c r="B16" s="10" t="s">
        <v>265</v>
      </c>
      <c r="C16" s="19">
        <v>46200</v>
      </c>
      <c r="D16" s="23">
        <v>8.3333333333333329E-2</v>
      </c>
      <c r="E16" s="10" t="s">
        <v>266</v>
      </c>
      <c r="F16" s="10" t="s">
        <v>229</v>
      </c>
    </row>
    <row r="17" spans="1:6" x14ac:dyDescent="0.25">
      <c r="A17" s="10" t="s">
        <v>253</v>
      </c>
      <c r="B17" s="10" t="s">
        <v>267</v>
      </c>
      <c r="C17" s="19">
        <v>46200</v>
      </c>
      <c r="D17" s="23">
        <v>8.3333333333333329E-2</v>
      </c>
      <c r="E17" s="10" t="s">
        <v>266</v>
      </c>
      <c r="F17" s="10" t="s">
        <v>229</v>
      </c>
    </row>
    <row r="18" spans="1:6" x14ac:dyDescent="0.25">
      <c r="A18" s="10" t="s">
        <v>253</v>
      </c>
      <c r="B18" s="10" t="s">
        <v>268</v>
      </c>
      <c r="C18" s="19">
        <v>46200</v>
      </c>
      <c r="D18" s="23">
        <v>0.20833333333333334</v>
      </c>
      <c r="E18" s="10" t="s">
        <v>269</v>
      </c>
      <c r="F18" s="10" t="s">
        <v>229</v>
      </c>
    </row>
    <row r="19" spans="1:6" x14ac:dyDescent="0.25">
      <c r="A19" s="10" t="s">
        <v>253</v>
      </c>
      <c r="B19" s="10" t="s">
        <v>270</v>
      </c>
      <c r="C19" s="19">
        <v>46200</v>
      </c>
      <c r="D19" s="23">
        <v>0.20833333333333334</v>
      </c>
      <c r="E19" s="10" t="s">
        <v>269</v>
      </c>
      <c r="F19" s="10" t="s">
        <v>229</v>
      </c>
    </row>
    <row r="20" spans="1:6" x14ac:dyDescent="0.25">
      <c r="A20" s="10" t="s">
        <v>253</v>
      </c>
      <c r="B20" s="10" t="s">
        <v>271</v>
      </c>
      <c r="C20" s="19">
        <v>46200</v>
      </c>
      <c r="D20" s="23">
        <v>0.95833333333333337</v>
      </c>
      <c r="E20" s="10" t="s">
        <v>272</v>
      </c>
      <c r="F20" s="10" t="s">
        <v>229</v>
      </c>
    </row>
    <row r="21" spans="1:6" x14ac:dyDescent="0.25">
      <c r="A21" s="10" t="s">
        <v>253</v>
      </c>
      <c r="B21" s="10" t="s">
        <v>273</v>
      </c>
      <c r="C21" s="19">
        <v>46200</v>
      </c>
      <c r="D21" s="23">
        <v>0.95833333333333337</v>
      </c>
      <c r="E21" s="10" t="s">
        <v>272</v>
      </c>
      <c r="F21" s="10" t="s">
        <v>229</v>
      </c>
    </row>
    <row r="22" spans="1:6" x14ac:dyDescent="0.25">
      <c r="A22" s="10" t="s">
        <v>253</v>
      </c>
      <c r="B22" s="10" t="s">
        <v>274</v>
      </c>
      <c r="C22" s="19">
        <v>46201</v>
      </c>
      <c r="D22" s="23">
        <v>6.25E-2</v>
      </c>
      <c r="E22" s="10" t="s">
        <v>275</v>
      </c>
      <c r="F22" s="10" t="s">
        <v>229</v>
      </c>
    </row>
    <row r="23" spans="1:6" x14ac:dyDescent="0.25">
      <c r="A23" s="10" t="s">
        <v>253</v>
      </c>
      <c r="B23" s="10" t="s">
        <v>276</v>
      </c>
      <c r="C23" s="19">
        <v>46201</v>
      </c>
      <c r="D23" s="23">
        <v>6.25E-2</v>
      </c>
      <c r="E23" s="10" t="s">
        <v>275</v>
      </c>
      <c r="F23" s="10" t="s">
        <v>229</v>
      </c>
    </row>
    <row r="24" spans="1:6" x14ac:dyDescent="0.25">
      <c r="A24" s="10" t="s">
        <v>253</v>
      </c>
      <c r="B24" s="10" t="s">
        <v>277</v>
      </c>
      <c r="C24" s="19">
        <v>46201</v>
      </c>
      <c r="D24" s="23">
        <v>0.16666666666666666</v>
      </c>
      <c r="E24" s="10" t="s">
        <v>278</v>
      </c>
      <c r="F24" s="10" t="s">
        <v>229</v>
      </c>
    </row>
    <row r="25" spans="1:6" x14ac:dyDescent="0.25">
      <c r="A25" s="10" t="s">
        <v>253</v>
      </c>
      <c r="B25" s="10" t="s">
        <v>279</v>
      </c>
      <c r="C25" s="19">
        <v>46201</v>
      </c>
      <c r="D25" s="23">
        <v>0.16666666666666666</v>
      </c>
      <c r="E25" s="10" t="s">
        <v>278</v>
      </c>
      <c r="F25" s="10" t="s">
        <v>229</v>
      </c>
    </row>
    <row r="26" spans="1:6" x14ac:dyDescent="0.25">
      <c r="A26" s="10" t="s">
        <v>220</v>
      </c>
      <c r="B26" s="10"/>
      <c r="C26" s="19"/>
      <c r="D26" s="23"/>
      <c r="E26" s="10"/>
      <c r="F26" s="10"/>
    </row>
    <row r="27" spans="1:6" x14ac:dyDescent="0.25">
      <c r="A27" s="10" t="s">
        <v>220</v>
      </c>
      <c r="B27" s="10"/>
      <c r="C27" s="19"/>
      <c r="D27" s="23"/>
      <c r="E27" s="10"/>
      <c r="F27" s="10"/>
    </row>
    <row r="28" spans="1:6" x14ac:dyDescent="0.25">
      <c r="A28" s="10" t="s">
        <v>220</v>
      </c>
      <c r="B28" s="10"/>
      <c r="C28" s="19"/>
      <c r="D28" s="23"/>
      <c r="E28" s="10"/>
      <c r="F28" s="10"/>
    </row>
    <row r="29" spans="1:6" x14ac:dyDescent="0.25">
      <c r="A29" s="10" t="s">
        <v>220</v>
      </c>
      <c r="B29" s="10"/>
      <c r="C29" s="19"/>
      <c r="D29" s="23"/>
      <c r="E29" s="10"/>
      <c r="F29" s="10"/>
    </row>
    <row r="30" spans="1:6" x14ac:dyDescent="0.25">
      <c r="A30" s="10" t="s">
        <v>220</v>
      </c>
      <c r="B30" s="10"/>
      <c r="C30" s="19"/>
      <c r="D30" s="23"/>
      <c r="E30" s="10"/>
      <c r="F30" s="10"/>
    </row>
    <row r="31" spans="1:6" x14ac:dyDescent="0.25">
      <c r="A31" s="10" t="s">
        <v>220</v>
      </c>
      <c r="B31" s="10"/>
      <c r="C31" s="19"/>
      <c r="D31" s="23"/>
      <c r="E31" s="10"/>
      <c r="F31" s="10"/>
    </row>
    <row r="32" spans="1:6" x14ac:dyDescent="0.25">
      <c r="A32" s="10" t="s">
        <v>220</v>
      </c>
      <c r="B32" s="10"/>
      <c r="C32" s="19"/>
      <c r="D32" s="23"/>
      <c r="E32" s="10"/>
      <c r="F32" s="10"/>
    </row>
    <row r="33" spans="1:6" x14ac:dyDescent="0.25">
      <c r="A33" s="10" t="s">
        <v>220</v>
      </c>
      <c r="B33" s="10"/>
      <c r="C33" s="19"/>
      <c r="D33" s="23"/>
      <c r="E33" s="10"/>
      <c r="F33" s="10"/>
    </row>
    <row r="34" spans="1:6" x14ac:dyDescent="0.25">
      <c r="A34" s="10" t="s">
        <v>220</v>
      </c>
      <c r="B34" s="10"/>
      <c r="C34" s="19"/>
      <c r="D34" s="23"/>
      <c r="E34" s="10"/>
      <c r="F34" s="10"/>
    </row>
    <row r="35" spans="1:6" x14ac:dyDescent="0.25">
      <c r="A35" s="10" t="s">
        <v>220</v>
      </c>
      <c r="B35" s="10"/>
      <c r="C35" s="19"/>
      <c r="D35" s="23"/>
      <c r="E35" s="10"/>
      <c r="F35" s="10"/>
    </row>
    <row r="36" spans="1:6" x14ac:dyDescent="0.25">
      <c r="A36" s="10" t="s">
        <v>220</v>
      </c>
      <c r="B36" s="10"/>
      <c r="C36" s="19"/>
      <c r="D36" s="23"/>
      <c r="E36" s="10"/>
      <c r="F36" s="10"/>
    </row>
    <row r="37" spans="1:6" x14ac:dyDescent="0.25">
      <c r="A37" s="10" t="s">
        <v>220</v>
      </c>
      <c r="B37" s="10"/>
      <c r="C37" s="19"/>
      <c r="D37" s="23"/>
      <c r="E37" s="10"/>
      <c r="F37" s="10"/>
    </row>
    <row r="38" spans="1:6" x14ac:dyDescent="0.25">
      <c r="A38" s="10" t="s">
        <v>220</v>
      </c>
      <c r="B38" s="10"/>
      <c r="C38" s="19"/>
      <c r="D38" s="23"/>
      <c r="E38" s="10"/>
      <c r="F38" s="10"/>
    </row>
    <row r="39" spans="1:6" x14ac:dyDescent="0.25">
      <c r="A39" s="10" t="s">
        <v>220</v>
      </c>
      <c r="B39" s="10"/>
      <c r="C39" s="19"/>
      <c r="D39" s="23"/>
      <c r="E39" s="10"/>
      <c r="F39" s="10"/>
    </row>
    <row r="40" spans="1:6" x14ac:dyDescent="0.25">
      <c r="A40" s="10" t="s">
        <v>220</v>
      </c>
      <c r="B40" s="10"/>
      <c r="C40" s="19"/>
      <c r="D40" s="23"/>
      <c r="E40" s="10"/>
      <c r="F40" s="10"/>
    </row>
    <row r="41" spans="1:6" x14ac:dyDescent="0.25">
      <c r="A41" s="10" t="s">
        <v>220</v>
      </c>
      <c r="B41" s="10"/>
      <c r="C41" s="19"/>
      <c r="D41" s="23"/>
      <c r="E41" s="10"/>
      <c r="F41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CF1" sqref="CF1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174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115</v>
      </c>
      <c r="U2" t="s">
        <v>116</v>
      </c>
      <c r="V2" t="s">
        <v>105</v>
      </c>
      <c r="W2" t="s">
        <v>118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103</v>
      </c>
      <c r="AG2" t="s">
        <v>104</v>
      </c>
      <c r="AH2" t="s">
        <v>143</v>
      </c>
      <c r="AI2" t="s">
        <v>106</v>
      </c>
      <c r="AJ2" t="s">
        <v>119</v>
      </c>
      <c r="AK2" t="s">
        <v>120</v>
      </c>
      <c r="AL2" t="s">
        <v>121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158</v>
      </c>
      <c r="BT2" t="s">
        <v>129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22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18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10.5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4</v>
      </c>
      <c r="CE2">
        <f>IF(BR2='Resultats Reals'!$L$2,5,0)</f>
        <v>0</v>
      </c>
      <c r="CF2" s="7">
        <f t="shared" ref="CF2:CF49" si="0">SUM(BU2:CE2)</f>
        <v>54.5</v>
      </c>
    </row>
    <row r="3" spans="1:84" x14ac:dyDescent="0.25">
      <c r="A3" t="s">
        <v>135</v>
      </c>
      <c r="B3" t="s">
        <v>136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114</v>
      </c>
      <c r="T3" t="s">
        <v>115</v>
      </c>
      <c r="U3" t="s">
        <v>104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110</v>
      </c>
      <c r="AB3" t="s">
        <v>126</v>
      </c>
      <c r="AC3" t="s">
        <v>112</v>
      </c>
      <c r="AD3" t="s">
        <v>127</v>
      </c>
      <c r="AE3" t="s">
        <v>102</v>
      </c>
      <c r="AF3" t="s">
        <v>103</v>
      </c>
      <c r="AG3" t="s">
        <v>116</v>
      </c>
      <c r="AH3" t="s">
        <v>117</v>
      </c>
      <c r="AI3" t="s">
        <v>106</v>
      </c>
      <c r="AJ3" t="s">
        <v>119</v>
      </c>
      <c r="AK3" t="s">
        <v>120</v>
      </c>
      <c r="AL3" t="s">
        <v>121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115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21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17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10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4</v>
      </c>
      <c r="CE3">
        <f>IF(BR3='Resultats Reals'!$L$2,5,0)</f>
        <v>0</v>
      </c>
      <c r="CF3" s="7">
        <f t="shared" si="0"/>
        <v>52</v>
      </c>
    </row>
    <row r="4" spans="1:84" x14ac:dyDescent="0.25">
      <c r="A4" t="s">
        <v>214</v>
      </c>
      <c r="B4" t="s">
        <v>136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115</v>
      </c>
      <c r="U4" t="s">
        <v>116</v>
      </c>
      <c r="V4" t="s">
        <v>105</v>
      </c>
      <c r="W4" t="s">
        <v>118</v>
      </c>
      <c r="X4" t="s">
        <v>119</v>
      </c>
      <c r="Y4" t="s">
        <v>96</v>
      </c>
      <c r="Z4" t="s">
        <v>121</v>
      </c>
      <c r="AA4" t="s">
        <v>131</v>
      </c>
      <c r="AB4" t="s">
        <v>111</v>
      </c>
      <c r="AC4" t="s">
        <v>112</v>
      </c>
      <c r="AD4" t="s">
        <v>113</v>
      </c>
      <c r="AE4" t="s">
        <v>114</v>
      </c>
      <c r="AF4" t="s">
        <v>103</v>
      </c>
      <c r="AG4" t="s">
        <v>104</v>
      </c>
      <c r="AH4" t="s">
        <v>117</v>
      </c>
      <c r="AI4" t="s">
        <v>106</v>
      </c>
      <c r="AJ4" t="s">
        <v>107</v>
      </c>
      <c r="AK4" t="s">
        <v>128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118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122</v>
      </c>
      <c r="BT4" t="s">
        <v>129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20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18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11.5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0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4</v>
      </c>
      <c r="CE4">
        <f>IF(BR4='Resultats Reals'!$L$2,5,0)</f>
        <v>0</v>
      </c>
      <c r="CF4" s="7">
        <f t="shared" si="0"/>
        <v>53.5</v>
      </c>
    </row>
    <row r="5" spans="1:84" x14ac:dyDescent="0.25">
      <c r="A5" t="s">
        <v>205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116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131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104</v>
      </c>
      <c r="AH5" t="s">
        <v>117</v>
      </c>
      <c r="AI5" t="s">
        <v>118</v>
      </c>
      <c r="AJ5" t="s">
        <v>119</v>
      </c>
      <c r="AK5" t="s">
        <v>128</v>
      </c>
      <c r="AL5" t="s">
        <v>121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21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16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12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4</v>
      </c>
      <c r="CE5">
        <f>IF(BR5='Resultats Reals'!$L$2,5,0)</f>
        <v>0</v>
      </c>
      <c r="CF5" s="7">
        <f t="shared" si="0"/>
        <v>53</v>
      </c>
    </row>
    <row r="6" spans="1:84" x14ac:dyDescent="0.25">
      <c r="A6" t="s">
        <v>150</v>
      </c>
      <c r="B6" t="s">
        <v>136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111</v>
      </c>
      <c r="Q6" t="s">
        <v>100</v>
      </c>
      <c r="R6" t="s">
        <v>89</v>
      </c>
      <c r="S6" t="s">
        <v>114</v>
      </c>
      <c r="T6" t="s">
        <v>115</v>
      </c>
      <c r="U6" t="s">
        <v>104</v>
      </c>
      <c r="V6" t="s">
        <v>105</v>
      </c>
      <c r="W6" t="s">
        <v>118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112</v>
      </c>
      <c r="AD6" t="s">
        <v>113</v>
      </c>
      <c r="AE6" t="s">
        <v>102</v>
      </c>
      <c r="AF6" t="s">
        <v>103</v>
      </c>
      <c r="AG6" t="s">
        <v>116</v>
      </c>
      <c r="AH6" t="s">
        <v>117</v>
      </c>
      <c r="AI6" t="s">
        <v>106</v>
      </c>
      <c r="AJ6" t="s">
        <v>119</v>
      </c>
      <c r="AK6" t="s">
        <v>128</v>
      </c>
      <c r="AL6" t="s">
        <v>121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118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151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19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16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14.5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4</v>
      </c>
      <c r="CE6">
        <f>IF(BR6='Resultats Reals'!$L$2,5,0)</f>
        <v>0</v>
      </c>
      <c r="CF6" s="7">
        <f t="shared" si="0"/>
        <v>53.5</v>
      </c>
    </row>
    <row r="7" spans="1:84" ht="15.75" customHeight="1" x14ac:dyDescent="0.25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22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17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9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4</v>
      </c>
      <c r="CE7">
        <f>IF(BR7='Resultats Reals'!$L$2,5,0)</f>
        <v>0</v>
      </c>
      <c r="CF7" s="7">
        <f t="shared" si="0"/>
        <v>52</v>
      </c>
    </row>
    <row r="8" spans="1:84" x14ac:dyDescent="0.25">
      <c r="A8" t="s">
        <v>124</v>
      </c>
      <c r="B8" t="s">
        <v>125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115</v>
      </c>
      <c r="U8" t="s">
        <v>116</v>
      </c>
      <c r="V8" t="s">
        <v>105</v>
      </c>
      <c r="W8" t="s">
        <v>118</v>
      </c>
      <c r="X8" t="s">
        <v>107</v>
      </c>
      <c r="Y8" t="s">
        <v>108</v>
      </c>
      <c r="Z8" t="s">
        <v>109</v>
      </c>
      <c r="AA8" t="s">
        <v>98</v>
      </c>
      <c r="AB8" t="s">
        <v>126</v>
      </c>
      <c r="AC8" t="s">
        <v>112</v>
      </c>
      <c r="AD8" t="s">
        <v>127</v>
      </c>
      <c r="AE8" t="s">
        <v>114</v>
      </c>
      <c r="AF8" t="s">
        <v>103</v>
      </c>
      <c r="AG8" t="s">
        <v>104</v>
      </c>
      <c r="AH8" t="s">
        <v>117</v>
      </c>
      <c r="AI8" t="s">
        <v>106</v>
      </c>
      <c r="AJ8" t="s">
        <v>119</v>
      </c>
      <c r="AK8" t="s">
        <v>128</v>
      </c>
      <c r="AL8" t="s">
        <v>121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122</v>
      </c>
      <c r="BT8" t="s">
        <v>129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22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17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11.5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4</v>
      </c>
      <c r="CE8">
        <f>IF(BR8='Resultats Reals'!$L$2,5,0)</f>
        <v>0</v>
      </c>
      <c r="CF8" s="7">
        <f t="shared" si="0"/>
        <v>54.5</v>
      </c>
    </row>
    <row r="9" spans="1:84" x14ac:dyDescent="0.25">
      <c r="A9" t="s">
        <v>185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115</v>
      </c>
      <c r="U9" t="s">
        <v>116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131</v>
      </c>
      <c r="AB9" t="s">
        <v>126</v>
      </c>
      <c r="AC9" t="s">
        <v>112</v>
      </c>
      <c r="AD9" t="s">
        <v>127</v>
      </c>
      <c r="AE9" t="s">
        <v>114</v>
      </c>
      <c r="AF9" t="s">
        <v>103</v>
      </c>
      <c r="AG9" t="s">
        <v>104</v>
      </c>
      <c r="AH9" t="s">
        <v>117</v>
      </c>
      <c r="AI9" t="s">
        <v>118</v>
      </c>
      <c r="AJ9" t="s">
        <v>119</v>
      </c>
      <c r="AK9" t="s">
        <v>120</v>
      </c>
      <c r="AL9" t="s">
        <v>121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115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186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21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15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10.5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4</v>
      </c>
      <c r="CE9">
        <f>IF(BR9='Resultats Reals'!$L$2,5,0)</f>
        <v>0</v>
      </c>
      <c r="CF9" s="7">
        <f t="shared" si="0"/>
        <v>50.5</v>
      </c>
    </row>
    <row r="10" spans="1:84" x14ac:dyDescent="0.25">
      <c r="A10" t="s">
        <v>208</v>
      </c>
      <c r="B10" t="s">
        <v>164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114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126</v>
      </c>
      <c r="AC10" t="s">
        <v>112</v>
      </c>
      <c r="AD10" t="s">
        <v>113</v>
      </c>
      <c r="AE10" t="s">
        <v>102</v>
      </c>
      <c r="AF10" t="s">
        <v>115</v>
      </c>
      <c r="AG10" t="s">
        <v>116</v>
      </c>
      <c r="AH10" t="s">
        <v>143</v>
      </c>
      <c r="AI10" t="s">
        <v>118</v>
      </c>
      <c r="AJ10" t="s">
        <v>144</v>
      </c>
      <c r="AK10" t="s">
        <v>128</v>
      </c>
      <c r="AL10" t="s">
        <v>145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118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122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21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8.5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4</v>
      </c>
      <c r="CE10">
        <f>IF(BR10='Resultats Reals'!$L$2,5,0)</f>
        <v>0</v>
      </c>
      <c r="CF10" s="7">
        <f t="shared" si="0"/>
        <v>50.5</v>
      </c>
    </row>
    <row r="11" spans="1:84" x14ac:dyDescent="0.25">
      <c r="A11" t="s">
        <v>210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114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98</v>
      </c>
      <c r="AB11" t="s">
        <v>111</v>
      </c>
      <c r="AC11" t="s">
        <v>112</v>
      </c>
      <c r="AD11" t="s">
        <v>113</v>
      </c>
      <c r="AE11" t="s">
        <v>102</v>
      </c>
      <c r="AF11" t="s">
        <v>103</v>
      </c>
      <c r="AG11" t="s">
        <v>116</v>
      </c>
      <c r="AH11" t="s">
        <v>143</v>
      </c>
      <c r="AI11" t="s">
        <v>106</v>
      </c>
      <c r="AJ11" t="s">
        <v>119</v>
      </c>
      <c r="AK11" t="s">
        <v>128</v>
      </c>
      <c r="AL11" t="s">
        <v>121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118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211</v>
      </c>
      <c r="BS11" t="s">
        <v>122</v>
      </c>
      <c r="BT11" t="s">
        <v>212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22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14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 t="shared" si="0"/>
        <v>53</v>
      </c>
    </row>
    <row r="12" spans="1:84" x14ac:dyDescent="0.25">
      <c r="A12" t="s">
        <v>189</v>
      </c>
      <c r="B12" t="s">
        <v>148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115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145</v>
      </c>
      <c r="AA12" t="s">
        <v>131</v>
      </c>
      <c r="AB12" t="s">
        <v>126</v>
      </c>
      <c r="AC12" t="s">
        <v>112</v>
      </c>
      <c r="AD12" t="s">
        <v>113</v>
      </c>
      <c r="AE12" t="s">
        <v>114</v>
      </c>
      <c r="AF12" t="s">
        <v>103</v>
      </c>
      <c r="AG12" t="s">
        <v>139</v>
      </c>
      <c r="AH12" t="s">
        <v>117</v>
      </c>
      <c r="AI12" t="s">
        <v>106</v>
      </c>
      <c r="AJ12" t="s">
        <v>119</v>
      </c>
      <c r="AK12" t="s">
        <v>128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118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190</v>
      </c>
      <c r="BS12" t="s">
        <v>155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22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16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11.5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4</v>
      </c>
      <c r="CE12">
        <f>IF(BR12='Resultats Reals'!$L$2,5,0)</f>
        <v>0</v>
      </c>
      <c r="CF12" s="7">
        <f t="shared" si="0"/>
        <v>53.5</v>
      </c>
    </row>
    <row r="13" spans="1:84" x14ac:dyDescent="0.25">
      <c r="A13" t="s">
        <v>157</v>
      </c>
      <c r="B13" t="s">
        <v>136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111</v>
      </c>
      <c r="Q13" t="s">
        <v>100</v>
      </c>
      <c r="R13" t="s">
        <v>89</v>
      </c>
      <c r="S13" t="s">
        <v>102</v>
      </c>
      <c r="T13" t="s">
        <v>115</v>
      </c>
      <c r="U13" t="s">
        <v>116</v>
      </c>
      <c r="V13" t="s">
        <v>105</v>
      </c>
      <c r="W13" t="s">
        <v>118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112</v>
      </c>
      <c r="AD13" t="s">
        <v>113</v>
      </c>
      <c r="AE13" t="s">
        <v>114</v>
      </c>
      <c r="AF13" t="s">
        <v>103</v>
      </c>
      <c r="AG13" t="s">
        <v>104</v>
      </c>
      <c r="AH13" t="s">
        <v>117</v>
      </c>
      <c r="AI13" t="s">
        <v>106</v>
      </c>
      <c r="AJ13" t="s">
        <v>119</v>
      </c>
      <c r="AK13" t="s">
        <v>120</v>
      </c>
      <c r="AL13" t="s">
        <v>145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158</v>
      </c>
      <c r="BT13" t="s">
        <v>146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21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18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10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 t="shared" si="0"/>
        <v>49</v>
      </c>
    </row>
    <row r="14" spans="1:84" x14ac:dyDescent="0.25">
      <c r="A14" t="s">
        <v>169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111</v>
      </c>
      <c r="Q14" t="s">
        <v>100</v>
      </c>
      <c r="R14" t="s">
        <v>113</v>
      </c>
      <c r="S14" t="s">
        <v>102</v>
      </c>
      <c r="T14" t="s">
        <v>115</v>
      </c>
      <c r="U14" t="s">
        <v>104</v>
      </c>
      <c r="V14" t="s">
        <v>105</v>
      </c>
      <c r="W14" t="s">
        <v>118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112</v>
      </c>
      <c r="AD14" t="s">
        <v>89</v>
      </c>
      <c r="AE14" t="s">
        <v>114</v>
      </c>
      <c r="AF14" t="s">
        <v>103</v>
      </c>
      <c r="AG14" t="s">
        <v>116</v>
      </c>
      <c r="AH14" t="s">
        <v>117</v>
      </c>
      <c r="AI14" t="s">
        <v>106</v>
      </c>
      <c r="AJ14" t="s">
        <v>119</v>
      </c>
      <c r="AK14" t="s">
        <v>128</v>
      </c>
      <c r="AL14" t="s">
        <v>121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113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122</v>
      </c>
      <c r="BT14" t="s">
        <v>129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20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15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12.5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4</v>
      </c>
      <c r="CE14">
        <f>IF(BR14='Resultats Reals'!$L$2,5,0)</f>
        <v>0</v>
      </c>
      <c r="CF14" s="7">
        <f t="shared" si="0"/>
        <v>51.5</v>
      </c>
    </row>
    <row r="15" spans="1:84" x14ac:dyDescent="0.25">
      <c r="A15" t="s">
        <v>184</v>
      </c>
      <c r="B15" t="s">
        <v>125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126</v>
      </c>
      <c r="Q15" t="s">
        <v>100</v>
      </c>
      <c r="R15" t="s">
        <v>89</v>
      </c>
      <c r="S15" t="s">
        <v>102</v>
      </c>
      <c r="T15" t="s">
        <v>115</v>
      </c>
      <c r="U15" t="s">
        <v>104</v>
      </c>
      <c r="V15" t="s">
        <v>105</v>
      </c>
      <c r="W15" t="s">
        <v>118</v>
      </c>
      <c r="X15" t="s">
        <v>119</v>
      </c>
      <c r="Y15" t="s">
        <v>108</v>
      </c>
      <c r="Z15" t="s">
        <v>109</v>
      </c>
      <c r="AA15" t="s">
        <v>131</v>
      </c>
      <c r="AB15" t="s">
        <v>87</v>
      </c>
      <c r="AC15" t="s">
        <v>112</v>
      </c>
      <c r="AD15" t="s">
        <v>113</v>
      </c>
      <c r="AE15" t="s">
        <v>114</v>
      </c>
      <c r="AF15" t="s">
        <v>103</v>
      </c>
      <c r="AG15" t="s">
        <v>116</v>
      </c>
      <c r="AH15" t="s">
        <v>117</v>
      </c>
      <c r="AI15" t="s">
        <v>106</v>
      </c>
      <c r="AJ15" t="s">
        <v>107</v>
      </c>
      <c r="AK15" t="s">
        <v>128</v>
      </c>
      <c r="AL15" t="s">
        <v>121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118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122</v>
      </c>
      <c r="BT15" t="s">
        <v>129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19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15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11.5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4</v>
      </c>
      <c r="CE15">
        <f>IF(BR15='Resultats Reals'!$L$2,5,0)</f>
        <v>0</v>
      </c>
      <c r="CF15" s="7">
        <f t="shared" si="0"/>
        <v>49.5</v>
      </c>
    </row>
    <row r="16" spans="1:84" x14ac:dyDescent="0.25">
      <c r="A16" t="s">
        <v>137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119</v>
      </c>
      <c r="Y16" t="s">
        <v>108</v>
      </c>
      <c r="Z16" t="s">
        <v>109</v>
      </c>
      <c r="AA16" t="s">
        <v>110</v>
      </c>
      <c r="AB16" t="s">
        <v>111</v>
      </c>
      <c r="AC16" t="s">
        <v>112</v>
      </c>
      <c r="AD16" t="s">
        <v>127</v>
      </c>
      <c r="AE16" t="s">
        <v>114</v>
      </c>
      <c r="AF16" t="s">
        <v>103</v>
      </c>
      <c r="AG16" t="s">
        <v>116</v>
      </c>
      <c r="AH16" t="s">
        <v>117</v>
      </c>
      <c r="AI16" t="s">
        <v>106</v>
      </c>
      <c r="AJ16" t="s">
        <v>107</v>
      </c>
      <c r="AK16" t="s">
        <v>120</v>
      </c>
      <c r="AL16" t="s">
        <v>121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122</v>
      </c>
      <c r="BT16" t="s">
        <v>129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20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17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8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4</v>
      </c>
      <c r="CE16">
        <f>IF(BR16='Resultats Reals'!$L$2,5,0)</f>
        <v>0</v>
      </c>
      <c r="CF16" s="7">
        <f t="shared" si="0"/>
        <v>49</v>
      </c>
    </row>
    <row r="17" spans="1:84" x14ac:dyDescent="0.25">
      <c r="A17" t="s">
        <v>154</v>
      </c>
      <c r="B17" t="s">
        <v>136</v>
      </c>
      <c r="C17" t="s">
        <v>98</v>
      </c>
      <c r="D17" t="s">
        <v>99</v>
      </c>
      <c r="E17" t="s">
        <v>100</v>
      </c>
      <c r="F17" t="s">
        <v>113</v>
      </c>
      <c r="G17" t="s">
        <v>90</v>
      </c>
      <c r="H17" t="s">
        <v>115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121</v>
      </c>
      <c r="AA17" t="s">
        <v>110</v>
      </c>
      <c r="AB17" t="s">
        <v>126</v>
      </c>
      <c r="AC17" t="s">
        <v>112</v>
      </c>
      <c r="AD17" t="s">
        <v>127</v>
      </c>
      <c r="AE17" t="s">
        <v>114</v>
      </c>
      <c r="AF17" t="s">
        <v>103</v>
      </c>
      <c r="AG17" t="s">
        <v>139</v>
      </c>
      <c r="AH17" t="s">
        <v>117</v>
      </c>
      <c r="AI17" t="s">
        <v>106</v>
      </c>
      <c r="AJ17" t="s">
        <v>107</v>
      </c>
      <c r="AK17" t="s">
        <v>128</v>
      </c>
      <c r="AL17" t="s">
        <v>109</v>
      </c>
      <c r="AM17" t="s">
        <v>90</v>
      </c>
      <c r="AN17" t="s">
        <v>94</v>
      </c>
      <c r="AO17" t="s">
        <v>88</v>
      </c>
      <c r="AP17" t="s">
        <v>115</v>
      </c>
      <c r="AQ17" t="s">
        <v>121</v>
      </c>
      <c r="AR17" t="s">
        <v>93</v>
      </c>
      <c r="AS17" t="s">
        <v>113</v>
      </c>
      <c r="AT17" t="s">
        <v>104</v>
      </c>
      <c r="AU17" t="s">
        <v>100</v>
      </c>
      <c r="AV17" t="s">
        <v>118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115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155</v>
      </c>
      <c r="BT17" t="s">
        <v>129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18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15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8.5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4</v>
      </c>
      <c r="CE17">
        <f>IF(BR17='Resultats Reals'!$L$2,5,0)</f>
        <v>0</v>
      </c>
      <c r="CF17" s="7">
        <f t="shared" si="0"/>
        <v>45.5</v>
      </c>
    </row>
    <row r="18" spans="1:84" x14ac:dyDescent="0.25">
      <c r="A18" t="s">
        <v>191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114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111</v>
      </c>
      <c r="Q18" t="s">
        <v>100</v>
      </c>
      <c r="R18" t="s">
        <v>89</v>
      </c>
      <c r="S18" t="s">
        <v>90</v>
      </c>
      <c r="T18" t="s">
        <v>115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112</v>
      </c>
      <c r="AD18" t="s">
        <v>113</v>
      </c>
      <c r="AE18" t="s">
        <v>102</v>
      </c>
      <c r="AF18" t="s">
        <v>103</v>
      </c>
      <c r="AG18" t="s">
        <v>116</v>
      </c>
      <c r="AH18" t="s">
        <v>117</v>
      </c>
      <c r="AI18" t="s">
        <v>118</v>
      </c>
      <c r="AJ18" t="s">
        <v>119</v>
      </c>
      <c r="AK18" t="s">
        <v>128</v>
      </c>
      <c r="AL18" t="s">
        <v>121</v>
      </c>
      <c r="AM18" t="s">
        <v>114</v>
      </c>
      <c r="AN18" t="s">
        <v>94</v>
      </c>
      <c r="AO18" t="s">
        <v>111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167</v>
      </c>
      <c r="BT18" t="s">
        <v>155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19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14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13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2</v>
      </c>
      <c r="CE18">
        <f>IF(BR18='Resultats Reals'!$L$2,5,0)</f>
        <v>0</v>
      </c>
      <c r="CF18" s="7">
        <f t="shared" si="0"/>
        <v>48</v>
      </c>
    </row>
    <row r="19" spans="1:84" x14ac:dyDescent="0.25">
      <c r="A19" t="s">
        <v>196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118</v>
      </c>
      <c r="X19" t="s">
        <v>119</v>
      </c>
      <c r="Y19" t="s">
        <v>108</v>
      </c>
      <c r="Z19" t="s">
        <v>109</v>
      </c>
      <c r="AA19" t="s">
        <v>110</v>
      </c>
      <c r="AB19" t="s">
        <v>111</v>
      </c>
      <c r="AC19" t="s">
        <v>112</v>
      </c>
      <c r="AD19" t="s">
        <v>113</v>
      </c>
      <c r="AE19" t="s">
        <v>114</v>
      </c>
      <c r="AF19" t="s">
        <v>115</v>
      </c>
      <c r="AG19" t="s">
        <v>116</v>
      </c>
      <c r="AH19" t="s">
        <v>117</v>
      </c>
      <c r="AI19" t="s">
        <v>106</v>
      </c>
      <c r="AJ19" t="s">
        <v>107</v>
      </c>
      <c r="AK19" t="s">
        <v>128</v>
      </c>
      <c r="AL19" t="s">
        <v>121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197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177</v>
      </c>
      <c r="BS19" t="s">
        <v>122</v>
      </c>
      <c r="BT19" t="s">
        <v>129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20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16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8.5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4</v>
      </c>
      <c r="CE19">
        <f>IF(BR19='Resultats Reals'!$L$2,5,0)</f>
        <v>0</v>
      </c>
      <c r="CF19" s="7">
        <f t="shared" si="0"/>
        <v>48.5</v>
      </c>
    </row>
    <row r="20" spans="1:84" x14ac:dyDescent="0.25">
      <c r="A20" t="s">
        <v>209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115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118</v>
      </c>
      <c r="X20" t="s">
        <v>107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113</v>
      </c>
      <c r="AE20" t="s">
        <v>114</v>
      </c>
      <c r="AF20" t="s">
        <v>103</v>
      </c>
      <c r="AG20" t="s">
        <v>116</v>
      </c>
      <c r="AH20" t="s">
        <v>143</v>
      </c>
      <c r="AI20" t="s">
        <v>106</v>
      </c>
      <c r="AJ20" t="s">
        <v>119</v>
      </c>
      <c r="AK20" t="s">
        <v>128</v>
      </c>
      <c r="AL20" t="s">
        <v>121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118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129</v>
      </c>
      <c r="BT20" t="s">
        <v>155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19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16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13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2</v>
      </c>
      <c r="CE20">
        <f>IF(BR20='Resultats Reals'!$L$2,5,0)</f>
        <v>0</v>
      </c>
      <c r="CF20" s="7">
        <f t="shared" si="0"/>
        <v>50</v>
      </c>
    </row>
    <row r="21" spans="1:84" x14ac:dyDescent="0.25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111</v>
      </c>
      <c r="AC21" t="s">
        <v>112</v>
      </c>
      <c r="AD21" t="s">
        <v>113</v>
      </c>
      <c r="AE21" t="s">
        <v>114</v>
      </c>
      <c r="AF21" t="s">
        <v>115</v>
      </c>
      <c r="AG21" t="s">
        <v>116</v>
      </c>
      <c r="AH21" t="s">
        <v>117</v>
      </c>
      <c r="AI21" t="s">
        <v>118</v>
      </c>
      <c r="AJ21" t="s">
        <v>119</v>
      </c>
      <c r="AK21" t="s">
        <v>120</v>
      </c>
      <c r="AL21" t="s">
        <v>121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122</v>
      </c>
      <c r="BT21" t="s">
        <v>123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22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9.5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 t="shared" si="0"/>
        <v>47.5</v>
      </c>
    </row>
    <row r="22" spans="1:84" x14ac:dyDescent="0.25">
      <c r="A22" t="s">
        <v>159</v>
      </c>
      <c r="B22" t="s">
        <v>136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115</v>
      </c>
      <c r="U22" t="s">
        <v>104</v>
      </c>
      <c r="V22" t="s">
        <v>105</v>
      </c>
      <c r="W22" t="s">
        <v>118</v>
      </c>
      <c r="X22" t="s">
        <v>107</v>
      </c>
      <c r="Y22" t="s">
        <v>96</v>
      </c>
      <c r="Z22" t="s">
        <v>109</v>
      </c>
      <c r="AA22" t="s">
        <v>98</v>
      </c>
      <c r="AB22" t="s">
        <v>111</v>
      </c>
      <c r="AC22" t="s">
        <v>112</v>
      </c>
      <c r="AD22" t="s">
        <v>113</v>
      </c>
      <c r="AE22" t="s">
        <v>114</v>
      </c>
      <c r="AF22" t="s">
        <v>103</v>
      </c>
      <c r="AG22" t="s">
        <v>139</v>
      </c>
      <c r="AH22" t="s">
        <v>117</v>
      </c>
      <c r="AI22" t="s">
        <v>106</v>
      </c>
      <c r="AJ22" t="s">
        <v>119</v>
      </c>
      <c r="AK22" t="s">
        <v>128</v>
      </c>
      <c r="AL22" t="s">
        <v>145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115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151</v>
      </c>
      <c r="BT22" t="s">
        <v>146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23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17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10.5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 t="shared" si="0"/>
        <v>50.5</v>
      </c>
    </row>
    <row r="23" spans="1:84" x14ac:dyDescent="0.25">
      <c r="A23" t="s">
        <v>187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111</v>
      </c>
      <c r="Q23" t="s">
        <v>100</v>
      </c>
      <c r="R23" t="s">
        <v>113</v>
      </c>
      <c r="S23" t="s">
        <v>102</v>
      </c>
      <c r="T23" t="s">
        <v>115</v>
      </c>
      <c r="U23" t="s">
        <v>104</v>
      </c>
      <c r="V23" t="s">
        <v>105</v>
      </c>
      <c r="W23" t="s">
        <v>118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112</v>
      </c>
      <c r="AD23" t="s">
        <v>89</v>
      </c>
      <c r="AE23" t="s">
        <v>114</v>
      </c>
      <c r="AF23" t="s">
        <v>103</v>
      </c>
      <c r="AG23" t="s">
        <v>116</v>
      </c>
      <c r="AH23" t="s">
        <v>117</v>
      </c>
      <c r="AI23" t="s">
        <v>106</v>
      </c>
      <c r="AJ23" t="s">
        <v>119</v>
      </c>
      <c r="AK23" t="s">
        <v>128</v>
      </c>
      <c r="AL23" t="s">
        <v>121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118</v>
      </c>
      <c r="AW23" t="s">
        <v>112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188</v>
      </c>
      <c r="BS23" t="s">
        <v>122</v>
      </c>
      <c r="BT23" t="s">
        <v>123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20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15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12.5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49.5</v>
      </c>
    </row>
    <row r="24" spans="1:84" x14ac:dyDescent="0.25">
      <c r="A24" t="s">
        <v>206</v>
      </c>
      <c r="B24" t="s">
        <v>136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207</v>
      </c>
      <c r="T24" t="s">
        <v>115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127</v>
      </c>
      <c r="AE24" t="s">
        <v>102</v>
      </c>
      <c r="AF24" t="s">
        <v>103</v>
      </c>
      <c r="AG24" t="s">
        <v>116</v>
      </c>
      <c r="AH24" t="s">
        <v>117</v>
      </c>
      <c r="AI24" t="s">
        <v>118</v>
      </c>
      <c r="AJ24" t="s">
        <v>119</v>
      </c>
      <c r="AK24" t="s">
        <v>128</v>
      </c>
      <c r="AL24" t="s">
        <v>121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188</v>
      </c>
      <c r="BS24" t="s">
        <v>122</v>
      </c>
      <c r="BT24" t="s">
        <v>155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20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11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2</v>
      </c>
      <c r="CE24">
        <f>IF(BR24='Resultats Reals'!$L$2,5,0)</f>
        <v>0</v>
      </c>
      <c r="CF24" s="7">
        <f t="shared" si="0"/>
        <v>48</v>
      </c>
    </row>
    <row r="25" spans="1:84" x14ac:dyDescent="0.25">
      <c r="A25" t="s">
        <v>147</v>
      </c>
      <c r="B25" t="s">
        <v>148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115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111</v>
      </c>
      <c r="AC25" t="s">
        <v>112</v>
      </c>
      <c r="AD25" t="s">
        <v>127</v>
      </c>
      <c r="AE25" t="s">
        <v>114</v>
      </c>
      <c r="AF25" t="s">
        <v>103</v>
      </c>
      <c r="AG25" t="s">
        <v>116</v>
      </c>
      <c r="AH25" t="s">
        <v>117</v>
      </c>
      <c r="AI25" t="s">
        <v>118</v>
      </c>
      <c r="AJ25" t="s">
        <v>119</v>
      </c>
      <c r="AK25" t="s">
        <v>128</v>
      </c>
      <c r="AL25" t="s">
        <v>121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149</v>
      </c>
      <c r="BS25" t="s">
        <v>122</v>
      </c>
      <c r="BT25" t="s">
        <v>129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18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10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4</v>
      </c>
      <c r="CE25">
        <f>IF(BR25='Resultats Reals'!$L$2,5,0)</f>
        <v>0</v>
      </c>
      <c r="CF25" s="7">
        <f t="shared" si="0"/>
        <v>47</v>
      </c>
    </row>
    <row r="26" spans="1:84" x14ac:dyDescent="0.25">
      <c r="A26" t="s">
        <v>181</v>
      </c>
      <c r="B26" t="s">
        <v>125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131</v>
      </c>
      <c r="P26" t="s">
        <v>126</v>
      </c>
      <c r="Q26" t="s">
        <v>100</v>
      </c>
      <c r="R26" t="s">
        <v>113</v>
      </c>
      <c r="S26" t="s">
        <v>102</v>
      </c>
      <c r="T26" t="s">
        <v>115</v>
      </c>
      <c r="U26" t="s">
        <v>116</v>
      </c>
      <c r="V26" t="s">
        <v>105</v>
      </c>
      <c r="W26" t="s">
        <v>106</v>
      </c>
      <c r="X26" t="s">
        <v>119</v>
      </c>
      <c r="Y26" t="s">
        <v>108</v>
      </c>
      <c r="Z26" t="s">
        <v>109</v>
      </c>
      <c r="AA26" t="s">
        <v>98</v>
      </c>
      <c r="AB26" t="s">
        <v>111</v>
      </c>
      <c r="AC26" t="s">
        <v>112</v>
      </c>
      <c r="AD26" t="s">
        <v>101</v>
      </c>
      <c r="AE26" t="s">
        <v>114</v>
      </c>
      <c r="AF26" t="s">
        <v>103</v>
      </c>
      <c r="AG26" t="s">
        <v>104</v>
      </c>
      <c r="AH26" t="s">
        <v>117</v>
      </c>
      <c r="AI26" t="s">
        <v>118</v>
      </c>
      <c r="AJ26" t="s">
        <v>107</v>
      </c>
      <c r="AK26" t="s">
        <v>128</v>
      </c>
      <c r="AL26" t="s">
        <v>121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118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177</v>
      </c>
      <c r="BS26" t="s">
        <v>122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21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15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0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4</v>
      </c>
      <c r="CE26">
        <f>IF(BR26='Resultats Reals'!$L$2,5,0)</f>
        <v>0</v>
      </c>
      <c r="CF26" s="7">
        <f t="shared" si="0"/>
        <v>50</v>
      </c>
    </row>
    <row r="27" spans="1:84" x14ac:dyDescent="0.25">
      <c r="A27" t="s">
        <v>156</v>
      </c>
      <c r="B27" t="s">
        <v>136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126</v>
      </c>
      <c r="Q27" t="s">
        <v>100</v>
      </c>
      <c r="R27" t="s">
        <v>101</v>
      </c>
      <c r="S27" t="s">
        <v>102</v>
      </c>
      <c r="T27" t="s">
        <v>115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112</v>
      </c>
      <c r="AD27" t="s">
        <v>127</v>
      </c>
      <c r="AE27" t="s">
        <v>114</v>
      </c>
      <c r="AF27" t="s">
        <v>103</v>
      </c>
      <c r="AG27" t="s">
        <v>116</v>
      </c>
      <c r="AH27" t="s">
        <v>117</v>
      </c>
      <c r="AI27" t="s">
        <v>118</v>
      </c>
      <c r="AJ27" t="s">
        <v>119</v>
      </c>
      <c r="AK27" t="s">
        <v>120</v>
      </c>
      <c r="AL27" t="s">
        <v>121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115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122</v>
      </c>
      <c r="BT27" t="s">
        <v>122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22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10.5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 t="shared" si="0"/>
        <v>45.5</v>
      </c>
    </row>
    <row r="28" spans="1:84" x14ac:dyDescent="0.25">
      <c r="A28" t="s">
        <v>166</v>
      </c>
      <c r="B28" t="s">
        <v>136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113</v>
      </c>
      <c r="S28" t="s">
        <v>114</v>
      </c>
      <c r="T28" t="s">
        <v>103</v>
      </c>
      <c r="U28" t="s">
        <v>139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111</v>
      </c>
      <c r="AC28" t="s">
        <v>112</v>
      </c>
      <c r="AD28" t="s">
        <v>89</v>
      </c>
      <c r="AE28" t="s">
        <v>102</v>
      </c>
      <c r="AF28" t="s">
        <v>115</v>
      </c>
      <c r="AG28" t="s">
        <v>104</v>
      </c>
      <c r="AH28" t="s">
        <v>117</v>
      </c>
      <c r="AI28" t="s">
        <v>118</v>
      </c>
      <c r="AJ28" t="s">
        <v>119</v>
      </c>
      <c r="AK28" t="s">
        <v>128</v>
      </c>
      <c r="AL28" t="s">
        <v>121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167</v>
      </c>
      <c r="BT28" t="s">
        <v>167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21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12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52</v>
      </c>
    </row>
    <row r="29" spans="1:84" x14ac:dyDescent="0.25">
      <c r="A29" t="s">
        <v>170</v>
      </c>
      <c r="B29" t="s">
        <v>136</v>
      </c>
      <c r="C29" t="s">
        <v>98</v>
      </c>
      <c r="D29" t="s">
        <v>87</v>
      </c>
      <c r="E29" t="s">
        <v>88</v>
      </c>
      <c r="F29" t="s">
        <v>113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111</v>
      </c>
      <c r="Q29" t="s">
        <v>100</v>
      </c>
      <c r="R29" t="s">
        <v>101</v>
      </c>
      <c r="S29" t="s">
        <v>102</v>
      </c>
      <c r="T29" t="s">
        <v>115</v>
      </c>
      <c r="U29" t="s">
        <v>92</v>
      </c>
      <c r="V29" t="s">
        <v>105</v>
      </c>
      <c r="W29" t="s">
        <v>118</v>
      </c>
      <c r="X29" t="s">
        <v>119</v>
      </c>
      <c r="Y29" t="s">
        <v>96</v>
      </c>
      <c r="Z29" t="s">
        <v>97</v>
      </c>
      <c r="AA29" t="s">
        <v>131</v>
      </c>
      <c r="AB29" t="s">
        <v>99</v>
      </c>
      <c r="AC29" t="s">
        <v>171</v>
      </c>
      <c r="AD29" t="s">
        <v>89</v>
      </c>
      <c r="AE29" t="s">
        <v>114</v>
      </c>
      <c r="AF29" t="s">
        <v>103</v>
      </c>
      <c r="AG29" t="s">
        <v>139</v>
      </c>
      <c r="AH29" t="s">
        <v>143</v>
      </c>
      <c r="AI29" t="s">
        <v>106</v>
      </c>
      <c r="AJ29" t="s">
        <v>107</v>
      </c>
      <c r="AK29" t="s">
        <v>128</v>
      </c>
      <c r="AL29" t="s">
        <v>121</v>
      </c>
      <c r="AM29" t="s">
        <v>98</v>
      </c>
      <c r="AN29" t="s">
        <v>105</v>
      </c>
      <c r="AO29" t="s">
        <v>88</v>
      </c>
      <c r="AP29" t="s">
        <v>113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118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118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21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14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9.5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4</v>
      </c>
      <c r="CE29">
        <f>IF(BR29='Resultats Reals'!$L$2,5,0)</f>
        <v>0</v>
      </c>
      <c r="CF29" s="7">
        <f t="shared" si="0"/>
        <v>48.5</v>
      </c>
    </row>
    <row r="30" spans="1:84" x14ac:dyDescent="0.25">
      <c r="A30" t="s">
        <v>176</v>
      </c>
      <c r="B30" t="s">
        <v>164</v>
      </c>
      <c r="C30" t="s">
        <v>86</v>
      </c>
      <c r="D30" t="s">
        <v>87</v>
      </c>
      <c r="E30" t="s">
        <v>88</v>
      </c>
      <c r="F30" t="s">
        <v>113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115</v>
      </c>
      <c r="U30" t="s">
        <v>104</v>
      </c>
      <c r="V30" t="s">
        <v>105</v>
      </c>
      <c r="W30" t="s">
        <v>118</v>
      </c>
      <c r="X30" t="s">
        <v>119</v>
      </c>
      <c r="Y30" t="s">
        <v>108</v>
      </c>
      <c r="Z30" t="s">
        <v>109</v>
      </c>
      <c r="AA30" t="s">
        <v>131</v>
      </c>
      <c r="AB30" t="s">
        <v>126</v>
      </c>
      <c r="AC30" t="s">
        <v>112</v>
      </c>
      <c r="AD30" t="s">
        <v>101</v>
      </c>
      <c r="AE30" t="s">
        <v>114</v>
      </c>
      <c r="AF30" t="s">
        <v>103</v>
      </c>
      <c r="AG30" t="s">
        <v>116</v>
      </c>
      <c r="AH30" t="s">
        <v>117</v>
      </c>
      <c r="AI30" t="s">
        <v>106</v>
      </c>
      <c r="AJ30" t="s">
        <v>107</v>
      </c>
      <c r="AK30" t="s">
        <v>128</v>
      </c>
      <c r="AL30" t="s">
        <v>145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113</v>
      </c>
      <c r="AT30" t="s">
        <v>92</v>
      </c>
      <c r="AU30" t="s">
        <v>88</v>
      </c>
      <c r="AV30" t="s">
        <v>118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177</v>
      </c>
      <c r="BS30" t="s">
        <v>129</v>
      </c>
      <c r="BT30" t="s">
        <v>129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21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17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7.5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4</v>
      </c>
      <c r="CE30">
        <f>IF(BR30='Resultats Reals'!$L$2,5,0)</f>
        <v>0</v>
      </c>
      <c r="CF30" s="7">
        <f t="shared" si="0"/>
        <v>49.5</v>
      </c>
    </row>
    <row r="31" spans="1:84" x14ac:dyDescent="0.25">
      <c r="A31" t="s">
        <v>178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111</v>
      </c>
      <c r="Q31" t="s">
        <v>100</v>
      </c>
      <c r="R31" t="s">
        <v>113</v>
      </c>
      <c r="S31" t="s">
        <v>90</v>
      </c>
      <c r="T31" t="s">
        <v>115</v>
      </c>
      <c r="U31" t="s">
        <v>104</v>
      </c>
      <c r="V31" t="s">
        <v>105</v>
      </c>
      <c r="W31" t="s">
        <v>118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112</v>
      </c>
      <c r="AD31" t="s">
        <v>89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119</v>
      </c>
      <c r="AK31" t="s">
        <v>128</v>
      </c>
      <c r="AL31" t="s">
        <v>121</v>
      </c>
      <c r="AM31" t="s">
        <v>102</v>
      </c>
      <c r="AN31" t="s">
        <v>94</v>
      </c>
      <c r="AO31" t="s">
        <v>111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113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122</v>
      </c>
      <c r="BT31" t="s">
        <v>123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19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15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12.5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 t="shared" si="0"/>
        <v>48.5</v>
      </c>
    </row>
    <row r="32" spans="1:84" x14ac:dyDescent="0.25">
      <c r="A32" t="s">
        <v>179</v>
      </c>
      <c r="B32" t="s">
        <v>125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118</v>
      </c>
      <c r="X32" t="s">
        <v>107</v>
      </c>
      <c r="Y32" t="s">
        <v>108</v>
      </c>
      <c r="Z32" t="s">
        <v>109</v>
      </c>
      <c r="AA32" t="s">
        <v>98</v>
      </c>
      <c r="AB32" t="s">
        <v>126</v>
      </c>
      <c r="AC32" t="s">
        <v>112</v>
      </c>
      <c r="AD32" t="s">
        <v>113</v>
      </c>
      <c r="AE32" t="s">
        <v>114</v>
      </c>
      <c r="AF32" t="s">
        <v>115</v>
      </c>
      <c r="AG32" t="s">
        <v>116</v>
      </c>
      <c r="AH32" t="s">
        <v>117</v>
      </c>
      <c r="AI32" t="s">
        <v>106</v>
      </c>
      <c r="AJ32" t="s">
        <v>119</v>
      </c>
      <c r="AK32" t="s">
        <v>128</v>
      </c>
      <c r="AL32" t="s">
        <v>121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180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19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15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11.5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4</v>
      </c>
      <c r="CE32">
        <f>IF(BR32='Resultats Reals'!$L$2,5,0)</f>
        <v>0</v>
      </c>
      <c r="CF32" s="7">
        <f t="shared" si="0"/>
        <v>49.5</v>
      </c>
    </row>
    <row r="33" spans="1:84" x14ac:dyDescent="0.25">
      <c r="A33" t="s">
        <v>192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114</v>
      </c>
      <c r="T33" t="s">
        <v>115</v>
      </c>
      <c r="U33" t="s">
        <v>104</v>
      </c>
      <c r="V33" t="s">
        <v>105</v>
      </c>
      <c r="W33" t="s">
        <v>106</v>
      </c>
      <c r="X33" t="s">
        <v>119</v>
      </c>
      <c r="Y33" t="s">
        <v>108</v>
      </c>
      <c r="Z33" t="s">
        <v>109</v>
      </c>
      <c r="AA33" t="s">
        <v>110</v>
      </c>
      <c r="AB33" t="s">
        <v>111</v>
      </c>
      <c r="AC33" t="s">
        <v>112</v>
      </c>
      <c r="AD33" t="s">
        <v>113</v>
      </c>
      <c r="AE33" t="s">
        <v>102</v>
      </c>
      <c r="AF33" t="s">
        <v>103</v>
      </c>
      <c r="AG33" t="s">
        <v>116</v>
      </c>
      <c r="AH33" t="s">
        <v>117</v>
      </c>
      <c r="AI33" t="s">
        <v>118</v>
      </c>
      <c r="AJ33" t="s">
        <v>107</v>
      </c>
      <c r="AK33" t="s">
        <v>128</v>
      </c>
      <c r="AL33" t="s">
        <v>121</v>
      </c>
      <c r="AM33" t="s">
        <v>99</v>
      </c>
      <c r="AN33" t="s">
        <v>100</v>
      </c>
      <c r="AO33" t="s">
        <v>90</v>
      </c>
      <c r="AP33" t="s">
        <v>88</v>
      </c>
      <c r="AQ33" t="s">
        <v>114</v>
      </c>
      <c r="AR33" t="s">
        <v>94</v>
      </c>
      <c r="AS33" t="s">
        <v>118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122</v>
      </c>
      <c r="BT33" t="s">
        <v>155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19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11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0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2</v>
      </c>
      <c r="CE33">
        <f>IF(BR33='Resultats Reals'!$L$2,5,0)</f>
        <v>0</v>
      </c>
      <c r="CF33" s="7">
        <f t="shared" si="0"/>
        <v>47</v>
      </c>
    </row>
    <row r="34" spans="1:84" x14ac:dyDescent="0.25">
      <c r="A34" t="s">
        <v>202</v>
      </c>
      <c r="B34" t="s">
        <v>136</v>
      </c>
      <c r="C34" t="s">
        <v>86</v>
      </c>
      <c r="D34" t="s">
        <v>87</v>
      </c>
      <c r="E34" t="s">
        <v>100</v>
      </c>
      <c r="F34" t="s">
        <v>113</v>
      </c>
      <c r="G34" t="s">
        <v>90</v>
      </c>
      <c r="H34" t="s">
        <v>115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111</v>
      </c>
      <c r="AC34" t="s">
        <v>112</v>
      </c>
      <c r="AD34" t="s">
        <v>89</v>
      </c>
      <c r="AE34" t="s">
        <v>114</v>
      </c>
      <c r="AF34" t="s">
        <v>91</v>
      </c>
      <c r="AG34" t="s">
        <v>116</v>
      </c>
      <c r="AH34" t="s">
        <v>117</v>
      </c>
      <c r="AI34" t="s">
        <v>118</v>
      </c>
      <c r="AJ34" t="s">
        <v>119</v>
      </c>
      <c r="AK34" t="s">
        <v>128</v>
      </c>
      <c r="AL34" t="s">
        <v>121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177</v>
      </c>
      <c r="BS34" t="s">
        <v>122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19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14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9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0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4</v>
      </c>
      <c r="CE34">
        <f>IF(BR34='Resultats Reals'!$L$2,5,0)</f>
        <v>0</v>
      </c>
      <c r="CF34" s="7">
        <f t="shared" si="0"/>
        <v>46</v>
      </c>
    </row>
    <row r="35" spans="1:84" x14ac:dyDescent="0.25">
      <c r="A35" t="s">
        <v>152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115</v>
      </c>
      <c r="U35" t="s">
        <v>104</v>
      </c>
      <c r="V35" t="s">
        <v>105</v>
      </c>
      <c r="W35" t="s">
        <v>118</v>
      </c>
      <c r="X35" t="s">
        <v>107</v>
      </c>
      <c r="Y35" t="s">
        <v>108</v>
      </c>
      <c r="Z35" t="s">
        <v>109</v>
      </c>
      <c r="AA35" t="s">
        <v>110</v>
      </c>
      <c r="AB35" t="s">
        <v>111</v>
      </c>
      <c r="AC35" t="s">
        <v>112</v>
      </c>
      <c r="AD35" t="s">
        <v>127</v>
      </c>
      <c r="AE35" t="s">
        <v>114</v>
      </c>
      <c r="AF35" t="s">
        <v>132</v>
      </c>
      <c r="AG35" t="s">
        <v>139</v>
      </c>
      <c r="AH35" t="s">
        <v>117</v>
      </c>
      <c r="AI35" t="s">
        <v>106</v>
      </c>
      <c r="AJ35" t="s">
        <v>144</v>
      </c>
      <c r="AK35" t="s">
        <v>128</v>
      </c>
      <c r="AL35" t="s">
        <v>145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115</v>
      </c>
      <c r="BB35" t="s">
        <v>118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122</v>
      </c>
      <c r="BT35" t="s">
        <v>129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20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18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3.5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4</v>
      </c>
      <c r="CE35">
        <f>IF(BR35='Resultats Reals'!$L$2,5,0)</f>
        <v>0</v>
      </c>
      <c r="CF35" s="7">
        <f t="shared" si="0"/>
        <v>45.5</v>
      </c>
    </row>
    <row r="36" spans="1:84" x14ac:dyDescent="0.25">
      <c r="A36" t="s">
        <v>153</v>
      </c>
      <c r="B36" t="s">
        <v>148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111</v>
      </c>
      <c r="Q36" t="s">
        <v>100</v>
      </c>
      <c r="R36" t="s">
        <v>113</v>
      </c>
      <c r="S36" t="s">
        <v>102</v>
      </c>
      <c r="T36" t="s">
        <v>103</v>
      </c>
      <c r="U36" t="s">
        <v>104</v>
      </c>
      <c r="V36" t="s">
        <v>105</v>
      </c>
      <c r="W36" t="s">
        <v>118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112</v>
      </c>
      <c r="AD36" t="s">
        <v>89</v>
      </c>
      <c r="AE36" t="s">
        <v>114</v>
      </c>
      <c r="AF36" t="s">
        <v>115</v>
      </c>
      <c r="AG36" t="s">
        <v>116</v>
      </c>
      <c r="AH36" t="s">
        <v>117</v>
      </c>
      <c r="AI36" t="s">
        <v>106</v>
      </c>
      <c r="AJ36" t="s">
        <v>119</v>
      </c>
      <c r="AK36" t="s">
        <v>128</v>
      </c>
      <c r="AL36" t="s">
        <v>121</v>
      </c>
      <c r="AM36" t="s">
        <v>102</v>
      </c>
      <c r="AN36" t="s">
        <v>93</v>
      </c>
      <c r="AO36" t="s">
        <v>115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115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146</v>
      </c>
      <c r="BT36" t="s">
        <v>129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10.5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4</v>
      </c>
      <c r="CE36">
        <f>IF(BR36='Resultats Reals'!$L$2,5,0)</f>
        <v>0</v>
      </c>
      <c r="CF36" s="7">
        <f t="shared" si="0"/>
        <v>46.5</v>
      </c>
    </row>
    <row r="37" spans="1:84" x14ac:dyDescent="0.25">
      <c r="A37" t="s">
        <v>168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115</v>
      </c>
      <c r="U37" t="s">
        <v>104</v>
      </c>
      <c r="V37" t="s">
        <v>105</v>
      </c>
      <c r="W37" t="s">
        <v>106</v>
      </c>
      <c r="X37" t="s">
        <v>119</v>
      </c>
      <c r="Y37" t="s">
        <v>108</v>
      </c>
      <c r="Z37" t="s">
        <v>109</v>
      </c>
      <c r="AA37" t="s">
        <v>98</v>
      </c>
      <c r="AB37" t="s">
        <v>111</v>
      </c>
      <c r="AC37" t="s">
        <v>112</v>
      </c>
      <c r="AD37" t="s">
        <v>127</v>
      </c>
      <c r="AE37" t="s">
        <v>114</v>
      </c>
      <c r="AF37" t="s">
        <v>103</v>
      </c>
      <c r="AG37" t="s">
        <v>116</v>
      </c>
      <c r="AH37" t="s">
        <v>117</v>
      </c>
      <c r="AI37" t="s">
        <v>118</v>
      </c>
      <c r="AJ37" t="s">
        <v>107</v>
      </c>
      <c r="AK37" t="s">
        <v>120</v>
      </c>
      <c r="AL37" t="s">
        <v>121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122</v>
      </c>
      <c r="BT37" t="s">
        <v>129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20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14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10.5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4</v>
      </c>
      <c r="CE37">
        <f>IF(BR37='Resultats Reals'!$L$2,5,0)</f>
        <v>0</v>
      </c>
      <c r="CF37" s="7">
        <f t="shared" si="0"/>
        <v>48.5</v>
      </c>
    </row>
    <row r="38" spans="1:84" x14ac:dyDescent="0.25">
      <c r="A38" t="s">
        <v>203</v>
      </c>
      <c r="B38" t="s">
        <v>136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111</v>
      </c>
      <c r="Q38" t="s">
        <v>100</v>
      </c>
      <c r="R38" t="s">
        <v>113</v>
      </c>
      <c r="S38" t="s">
        <v>102</v>
      </c>
      <c r="T38" t="s">
        <v>115</v>
      </c>
      <c r="U38" t="s">
        <v>104</v>
      </c>
      <c r="V38" t="s">
        <v>105</v>
      </c>
      <c r="W38" t="s">
        <v>118</v>
      </c>
      <c r="X38" t="s">
        <v>107</v>
      </c>
      <c r="Y38" t="s">
        <v>108</v>
      </c>
      <c r="Z38" t="s">
        <v>109</v>
      </c>
      <c r="AA38" t="s">
        <v>204</v>
      </c>
      <c r="AB38" t="s">
        <v>126</v>
      </c>
      <c r="AC38" t="s">
        <v>112</v>
      </c>
      <c r="AD38" t="s">
        <v>101</v>
      </c>
      <c r="AE38" t="s">
        <v>114</v>
      </c>
      <c r="AF38" t="s">
        <v>103</v>
      </c>
      <c r="AG38" t="s">
        <v>116</v>
      </c>
      <c r="AH38" t="s">
        <v>117</v>
      </c>
      <c r="AI38" t="s">
        <v>106</v>
      </c>
      <c r="AJ38" t="s">
        <v>119</v>
      </c>
      <c r="AK38" t="s">
        <v>120</v>
      </c>
      <c r="AL38" t="s">
        <v>121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118</v>
      </c>
      <c r="AS38" t="s">
        <v>86</v>
      </c>
      <c r="AT38" t="s">
        <v>97</v>
      </c>
      <c r="AU38" t="s">
        <v>95</v>
      </c>
      <c r="AV38" t="s">
        <v>113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158</v>
      </c>
      <c r="BT38" t="s">
        <v>146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22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16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8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46</v>
      </c>
    </row>
    <row r="39" spans="1:84" x14ac:dyDescent="0.25">
      <c r="A39" t="s">
        <v>172</v>
      </c>
      <c r="B39" t="s">
        <v>173</v>
      </c>
      <c r="C39" t="s">
        <v>98</v>
      </c>
      <c r="D39" t="s">
        <v>87</v>
      </c>
      <c r="E39" t="s">
        <v>88</v>
      </c>
      <c r="F39" t="s">
        <v>113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111</v>
      </c>
      <c r="Q39" t="s">
        <v>100</v>
      </c>
      <c r="R39" t="s">
        <v>101</v>
      </c>
      <c r="S39" t="s">
        <v>102</v>
      </c>
      <c r="T39" t="s">
        <v>115</v>
      </c>
      <c r="U39" t="s">
        <v>92</v>
      </c>
      <c r="V39" t="s">
        <v>105</v>
      </c>
      <c r="W39" t="s">
        <v>118</v>
      </c>
      <c r="X39" t="s">
        <v>119</v>
      </c>
      <c r="Y39" t="s">
        <v>96</v>
      </c>
      <c r="Z39" t="s">
        <v>97</v>
      </c>
      <c r="AA39" t="s">
        <v>131</v>
      </c>
      <c r="AB39" t="s">
        <v>99</v>
      </c>
      <c r="AC39" t="s">
        <v>171</v>
      </c>
      <c r="AD39" t="s">
        <v>89</v>
      </c>
      <c r="AE39" t="s">
        <v>114</v>
      </c>
      <c r="AF39" t="s">
        <v>103</v>
      </c>
      <c r="AG39" t="s">
        <v>139</v>
      </c>
      <c r="AH39" t="s">
        <v>143</v>
      </c>
      <c r="AI39" t="s">
        <v>106</v>
      </c>
      <c r="AJ39" t="s">
        <v>107</v>
      </c>
      <c r="AK39" t="s">
        <v>128</v>
      </c>
      <c r="AL39" t="s">
        <v>121</v>
      </c>
      <c r="AM39" t="s">
        <v>98</v>
      </c>
      <c r="AN39" t="s">
        <v>105</v>
      </c>
      <c r="AO39" t="s">
        <v>88</v>
      </c>
      <c r="AP39" t="s">
        <v>113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118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118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162</v>
      </c>
      <c r="BT39" t="s">
        <v>155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21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14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9.5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2</v>
      </c>
      <c r="CE39">
        <f>IF(BR39='Resultats Reals'!$L$2,5,0)</f>
        <v>0</v>
      </c>
      <c r="CF39" s="7">
        <f t="shared" si="0"/>
        <v>46.5</v>
      </c>
    </row>
    <row r="40" spans="1:84" x14ac:dyDescent="0.25">
      <c r="A40" t="s">
        <v>215</v>
      </c>
      <c r="B40" t="s">
        <v>85</v>
      </c>
      <c r="C40" t="s">
        <v>86</v>
      </c>
      <c r="D40" t="s">
        <v>99</v>
      </c>
      <c r="E40" t="s">
        <v>88</v>
      </c>
      <c r="F40" t="s">
        <v>113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115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131</v>
      </c>
      <c r="AB40" t="s">
        <v>126</v>
      </c>
      <c r="AC40" t="s">
        <v>112</v>
      </c>
      <c r="AD40" t="s">
        <v>101</v>
      </c>
      <c r="AE40" t="s">
        <v>114</v>
      </c>
      <c r="AF40" t="s">
        <v>132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115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216</v>
      </c>
      <c r="BS40" t="s">
        <v>129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20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8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0</v>
      </c>
      <c r="CE40">
        <f>IF(BR40='Resultats Reals'!$L$2,5,0)</f>
        <v>0</v>
      </c>
      <c r="CF40" s="7">
        <f t="shared" si="0"/>
        <v>43</v>
      </c>
    </row>
    <row r="41" spans="1:84" x14ac:dyDescent="0.25">
      <c r="A41" t="s">
        <v>160</v>
      </c>
      <c r="B41" t="s">
        <v>141</v>
      </c>
      <c r="C41" t="s">
        <v>86</v>
      </c>
      <c r="D41" t="s">
        <v>99</v>
      </c>
      <c r="E41" t="s">
        <v>88</v>
      </c>
      <c r="F41" t="s">
        <v>113</v>
      </c>
      <c r="G41" t="s">
        <v>90</v>
      </c>
      <c r="H41" t="s">
        <v>91</v>
      </c>
      <c r="I41" t="s">
        <v>139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131</v>
      </c>
      <c r="P41" t="s">
        <v>87</v>
      </c>
      <c r="Q41" t="s">
        <v>112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118</v>
      </c>
      <c r="X41" t="s">
        <v>119</v>
      </c>
      <c r="Y41" t="s">
        <v>108</v>
      </c>
      <c r="Z41" t="s">
        <v>145</v>
      </c>
      <c r="AA41" t="s">
        <v>110</v>
      </c>
      <c r="AB41" t="s">
        <v>126</v>
      </c>
      <c r="AC41" t="s">
        <v>100</v>
      </c>
      <c r="AD41" t="s">
        <v>127</v>
      </c>
      <c r="AE41" t="s">
        <v>114</v>
      </c>
      <c r="AF41" t="s">
        <v>115</v>
      </c>
      <c r="AG41" t="s">
        <v>104</v>
      </c>
      <c r="AH41" t="s">
        <v>117</v>
      </c>
      <c r="AI41" t="s">
        <v>106</v>
      </c>
      <c r="AJ41" t="s">
        <v>107</v>
      </c>
      <c r="AK41" t="s">
        <v>128</v>
      </c>
      <c r="AL41" t="s">
        <v>121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118</v>
      </c>
      <c r="AU41" t="s">
        <v>105</v>
      </c>
      <c r="AV41" t="s">
        <v>121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145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118</v>
      </c>
      <c r="BK41" t="s">
        <v>88</v>
      </c>
      <c r="BL41" t="s">
        <v>93</v>
      </c>
      <c r="BM41" t="s">
        <v>94</v>
      </c>
      <c r="BN41" t="s">
        <v>118</v>
      </c>
      <c r="BO41" t="s">
        <v>88</v>
      </c>
      <c r="BP41" t="s">
        <v>93</v>
      </c>
      <c r="BQ41" t="s">
        <v>88</v>
      </c>
      <c r="BS41" t="s">
        <v>161</v>
      </c>
      <c r="BT41" t="s">
        <v>162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12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8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4</v>
      </c>
      <c r="CE41">
        <f>IF(BR41='Resultats Reals'!$L$2,5,0)</f>
        <v>0</v>
      </c>
      <c r="CF41" s="7">
        <f t="shared" si="0"/>
        <v>43</v>
      </c>
    </row>
    <row r="42" spans="1:84" x14ac:dyDescent="0.25">
      <c r="A42" t="s">
        <v>163</v>
      </c>
      <c r="B42" t="s">
        <v>164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115</v>
      </c>
      <c r="U42" t="s">
        <v>104</v>
      </c>
      <c r="V42" t="s">
        <v>105</v>
      </c>
      <c r="W42" t="s">
        <v>106</v>
      </c>
      <c r="X42" t="s">
        <v>119</v>
      </c>
      <c r="Y42" t="s">
        <v>108</v>
      </c>
      <c r="Z42" t="s">
        <v>109</v>
      </c>
      <c r="AA42" t="s">
        <v>131</v>
      </c>
      <c r="AB42" t="s">
        <v>111</v>
      </c>
      <c r="AC42" t="s">
        <v>112</v>
      </c>
      <c r="AD42" t="s">
        <v>127</v>
      </c>
      <c r="AE42" t="s">
        <v>114</v>
      </c>
      <c r="AF42" t="s">
        <v>103</v>
      </c>
      <c r="AG42" t="s">
        <v>116</v>
      </c>
      <c r="AH42" t="s">
        <v>117</v>
      </c>
      <c r="AI42" t="s">
        <v>118</v>
      </c>
      <c r="AJ42" t="s">
        <v>144</v>
      </c>
      <c r="AK42" t="s">
        <v>120</v>
      </c>
      <c r="AL42" t="s">
        <v>145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114</v>
      </c>
      <c r="AY42" t="s">
        <v>102</v>
      </c>
      <c r="AZ42" t="s">
        <v>115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165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20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7.5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4</v>
      </c>
      <c r="CE42">
        <f>IF(BR42='Resultats Reals'!$L$2,5,0)</f>
        <v>0</v>
      </c>
      <c r="CF42" s="7">
        <f t="shared" si="0"/>
        <v>46.5</v>
      </c>
    </row>
    <row r="43" spans="1:84" x14ac:dyDescent="0.25">
      <c r="A43" t="s">
        <v>130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131</v>
      </c>
      <c r="AB43" t="s">
        <v>126</v>
      </c>
      <c r="AC43" t="s">
        <v>112</v>
      </c>
      <c r="AD43" t="s">
        <v>127</v>
      </c>
      <c r="AE43" t="s">
        <v>114</v>
      </c>
      <c r="AF43" t="s">
        <v>132</v>
      </c>
      <c r="AG43" t="s">
        <v>116</v>
      </c>
      <c r="AH43" t="s">
        <v>117</v>
      </c>
      <c r="AI43" t="s">
        <v>118</v>
      </c>
      <c r="AJ43" t="s">
        <v>119</v>
      </c>
      <c r="AK43" t="s">
        <v>120</v>
      </c>
      <c r="AL43" t="s">
        <v>121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133</v>
      </c>
      <c r="BT43" t="s">
        <v>134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22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8.5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 t="shared" si="0"/>
        <v>45.5</v>
      </c>
    </row>
    <row r="44" spans="1:84" x14ac:dyDescent="0.25">
      <c r="A44" t="s">
        <v>175</v>
      </c>
      <c r="B44" t="s">
        <v>173</v>
      </c>
      <c r="C44" t="s">
        <v>98</v>
      </c>
      <c r="D44" t="s">
        <v>87</v>
      </c>
      <c r="E44" t="s">
        <v>88</v>
      </c>
      <c r="F44" t="s">
        <v>113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111</v>
      </c>
      <c r="Q44" t="s">
        <v>100</v>
      </c>
      <c r="R44" t="s">
        <v>101</v>
      </c>
      <c r="S44" t="s">
        <v>102</v>
      </c>
      <c r="T44" t="s">
        <v>115</v>
      </c>
      <c r="U44" t="s">
        <v>92</v>
      </c>
      <c r="V44" t="s">
        <v>105</v>
      </c>
      <c r="W44" t="s">
        <v>118</v>
      </c>
      <c r="X44" t="s">
        <v>119</v>
      </c>
      <c r="Y44" t="s">
        <v>96</v>
      </c>
      <c r="Z44" t="s">
        <v>97</v>
      </c>
      <c r="AA44" t="s">
        <v>131</v>
      </c>
      <c r="AB44" t="s">
        <v>99</v>
      </c>
      <c r="AC44" t="s">
        <v>171</v>
      </c>
      <c r="AD44" t="s">
        <v>89</v>
      </c>
      <c r="AE44" t="s">
        <v>114</v>
      </c>
      <c r="AF44" t="s">
        <v>103</v>
      </c>
      <c r="AG44" t="s">
        <v>139</v>
      </c>
      <c r="AH44" t="s">
        <v>143</v>
      </c>
      <c r="AI44" t="s">
        <v>106</v>
      </c>
      <c r="AJ44" t="s">
        <v>107</v>
      </c>
      <c r="AK44" t="s">
        <v>128</v>
      </c>
      <c r="AL44" t="s">
        <v>121</v>
      </c>
      <c r="AM44" t="s">
        <v>98</v>
      </c>
      <c r="AN44" t="s">
        <v>105</v>
      </c>
      <c r="AO44" t="s">
        <v>88</v>
      </c>
      <c r="AP44" t="s">
        <v>113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118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118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129</v>
      </c>
      <c r="BT44" t="s">
        <v>133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21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14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9.5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 t="shared" si="0"/>
        <v>44.5</v>
      </c>
    </row>
    <row r="45" spans="1:84" x14ac:dyDescent="0.25">
      <c r="A45" t="s">
        <v>182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183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127</v>
      </c>
      <c r="AE45" t="s">
        <v>114</v>
      </c>
      <c r="AF45" t="s">
        <v>115</v>
      </c>
      <c r="AG45" t="s">
        <v>116</v>
      </c>
      <c r="AH45" t="s">
        <v>117</v>
      </c>
      <c r="AI45" t="s">
        <v>118</v>
      </c>
      <c r="AJ45" t="s">
        <v>119</v>
      </c>
      <c r="AK45" t="s">
        <v>120</v>
      </c>
      <c r="AL45" t="s">
        <v>121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151</v>
      </c>
      <c r="BT45" t="s">
        <v>123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14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10.5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45.5</v>
      </c>
    </row>
    <row r="46" spans="1:84" x14ac:dyDescent="0.25">
      <c r="A46" t="s">
        <v>193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118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111</v>
      </c>
      <c r="AC46" t="s">
        <v>112</v>
      </c>
      <c r="AD46" t="s">
        <v>127</v>
      </c>
      <c r="AE46" t="s">
        <v>114</v>
      </c>
      <c r="AF46" t="s">
        <v>115</v>
      </c>
      <c r="AG46" t="s">
        <v>139</v>
      </c>
      <c r="AH46" t="s">
        <v>117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118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194</v>
      </c>
      <c r="BT46" t="s">
        <v>195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19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16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7.5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42.5</v>
      </c>
    </row>
    <row r="47" spans="1:84" x14ac:dyDescent="0.25">
      <c r="A47" t="s">
        <v>198</v>
      </c>
      <c r="B47" t="s">
        <v>136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118</v>
      </c>
      <c r="L47" t="s">
        <v>95</v>
      </c>
      <c r="M47" t="s">
        <v>108</v>
      </c>
      <c r="N47" t="s">
        <v>97</v>
      </c>
      <c r="O47" t="s">
        <v>86</v>
      </c>
      <c r="P47" t="s">
        <v>111</v>
      </c>
      <c r="Q47" t="s">
        <v>100</v>
      </c>
      <c r="R47" t="s">
        <v>113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112</v>
      </c>
      <c r="AD47" t="s">
        <v>199</v>
      </c>
      <c r="AE47" t="s">
        <v>114</v>
      </c>
      <c r="AF47" t="s">
        <v>115</v>
      </c>
      <c r="AG47" t="s">
        <v>116</v>
      </c>
      <c r="AH47" t="s">
        <v>117</v>
      </c>
      <c r="AI47" t="s">
        <v>106</v>
      </c>
      <c r="AJ47" t="s">
        <v>119</v>
      </c>
      <c r="AK47" t="s">
        <v>128</v>
      </c>
      <c r="AL47" t="s">
        <v>121</v>
      </c>
      <c r="AM47" t="s">
        <v>90</v>
      </c>
      <c r="AN47" t="s">
        <v>118</v>
      </c>
      <c r="AO47" t="s">
        <v>111</v>
      </c>
      <c r="AP47" t="s">
        <v>100</v>
      </c>
      <c r="AQ47" t="s">
        <v>96</v>
      </c>
      <c r="AR47" t="s">
        <v>93</v>
      </c>
      <c r="AS47" t="s">
        <v>112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115</v>
      </c>
      <c r="BB47" t="s">
        <v>108</v>
      </c>
      <c r="BC47" t="s">
        <v>118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118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200</v>
      </c>
      <c r="BS47" t="s">
        <v>151</v>
      </c>
      <c r="BT47" t="s">
        <v>201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19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15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8.5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42.5</v>
      </c>
    </row>
    <row r="48" spans="1:84" x14ac:dyDescent="0.25">
      <c r="A48" t="s">
        <v>213</v>
      </c>
      <c r="B48" t="s">
        <v>136</v>
      </c>
      <c r="C48" t="s">
        <v>131</v>
      </c>
      <c r="D48" t="s">
        <v>111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113</v>
      </c>
      <c r="S48" t="s">
        <v>102</v>
      </c>
      <c r="T48" t="s">
        <v>132</v>
      </c>
      <c r="U48" t="s">
        <v>116</v>
      </c>
      <c r="V48" t="s">
        <v>105</v>
      </c>
      <c r="W48" t="s">
        <v>106</v>
      </c>
      <c r="X48" t="s">
        <v>119</v>
      </c>
      <c r="Y48" t="s">
        <v>108</v>
      </c>
      <c r="Z48" t="s">
        <v>109</v>
      </c>
      <c r="AA48" t="s">
        <v>110</v>
      </c>
      <c r="AB48" t="s">
        <v>87</v>
      </c>
      <c r="AC48" t="s">
        <v>112</v>
      </c>
      <c r="AD48" t="s">
        <v>101</v>
      </c>
      <c r="AE48" t="s">
        <v>114</v>
      </c>
      <c r="AF48" t="s">
        <v>103</v>
      </c>
      <c r="AG48" t="s">
        <v>104</v>
      </c>
      <c r="AH48" t="s">
        <v>117</v>
      </c>
      <c r="AI48" t="s">
        <v>118</v>
      </c>
      <c r="AJ48" t="s">
        <v>107</v>
      </c>
      <c r="AK48" t="s">
        <v>120</v>
      </c>
      <c r="AL48" t="s">
        <v>121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131</v>
      </c>
      <c r="AX48" t="s">
        <v>97</v>
      </c>
      <c r="AY48" t="s">
        <v>105</v>
      </c>
      <c r="AZ48" t="s">
        <v>113</v>
      </c>
      <c r="BA48" t="s">
        <v>112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158</v>
      </c>
      <c r="BT48" t="s">
        <v>122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19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14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8.5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0</v>
      </c>
      <c r="CE48">
        <f>IF(BR48='Resultats Reals'!$L$2,5,0)</f>
        <v>0</v>
      </c>
      <c r="CF48" s="7">
        <f t="shared" si="0"/>
        <v>41.5</v>
      </c>
    </row>
    <row r="49" spans="1:84" x14ac:dyDescent="0.25">
      <c r="A49" t="s">
        <v>140</v>
      </c>
      <c r="B49" t="s">
        <v>141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112</v>
      </c>
      <c r="R49" t="s">
        <v>101</v>
      </c>
      <c r="S49" t="s">
        <v>102</v>
      </c>
      <c r="T49" t="s">
        <v>103</v>
      </c>
      <c r="U49" t="s">
        <v>139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131</v>
      </c>
      <c r="AB49" t="s">
        <v>111</v>
      </c>
      <c r="AC49" t="s">
        <v>100</v>
      </c>
      <c r="AD49" t="s">
        <v>89</v>
      </c>
      <c r="AE49" t="s">
        <v>142</v>
      </c>
      <c r="AF49" t="s">
        <v>132</v>
      </c>
      <c r="AG49" t="s">
        <v>104</v>
      </c>
      <c r="AH49" t="s">
        <v>143</v>
      </c>
      <c r="AI49" t="s">
        <v>118</v>
      </c>
      <c r="AJ49" t="s">
        <v>144</v>
      </c>
      <c r="AK49" t="s">
        <v>120</v>
      </c>
      <c r="AL49" t="s">
        <v>145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113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146</v>
      </c>
      <c r="BT49" t="s">
        <v>146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20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10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5.5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0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35.5</v>
      </c>
    </row>
  </sheetData>
  <autoFilter ref="A1:CF49" xr:uid="{00000000-0001-0000-0100-000000000000}">
    <sortState xmlns:xlrd2="http://schemas.microsoft.com/office/spreadsheetml/2017/richdata2" ref="A2:CF49">
      <sortCondition descending="1" ref="CF1:CF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2" sqref="B2"/>
    </sheetView>
  </sheetViews>
  <sheetFormatPr baseColWidth="10" defaultColWidth="10.7109375" defaultRowHeight="15" x14ac:dyDescent="0.25"/>
  <cols>
    <col min="1" max="1" width="23.42578125" bestFit="1" customWidth="1"/>
    <col min="2" max="2" width="8.42578125" bestFit="1" customWidth="1"/>
  </cols>
  <sheetData>
    <row r="1" spans="1:2" x14ac:dyDescent="0.25">
      <c r="A1" s="11" t="s">
        <v>243</v>
      </c>
      <c r="B1" t="s">
        <v>244</v>
      </c>
    </row>
    <row r="2" spans="1:2" x14ac:dyDescent="0.25">
      <c r="A2" s="12" t="s">
        <v>174</v>
      </c>
      <c r="B2">
        <v>56</v>
      </c>
    </row>
    <row r="3" spans="1:2" x14ac:dyDescent="0.25">
      <c r="A3" s="12" t="s">
        <v>135</v>
      </c>
      <c r="B3">
        <v>56</v>
      </c>
    </row>
    <row r="4" spans="1:2" x14ac:dyDescent="0.25">
      <c r="A4" s="12" t="s">
        <v>205</v>
      </c>
      <c r="B4">
        <v>54.5</v>
      </c>
    </row>
    <row r="5" spans="1:2" x14ac:dyDescent="0.25">
      <c r="A5" s="12" t="s">
        <v>150</v>
      </c>
      <c r="B5">
        <v>54</v>
      </c>
    </row>
    <row r="6" spans="1:2" x14ac:dyDescent="0.25">
      <c r="A6" s="12" t="s">
        <v>208</v>
      </c>
      <c r="B6">
        <v>53.5</v>
      </c>
    </row>
    <row r="7" spans="1:2" x14ac:dyDescent="0.25">
      <c r="A7" s="12" t="s">
        <v>214</v>
      </c>
      <c r="B7">
        <v>53.5</v>
      </c>
    </row>
    <row r="8" spans="1:2" x14ac:dyDescent="0.25">
      <c r="A8" s="12" t="s">
        <v>210</v>
      </c>
      <c r="B8">
        <v>52</v>
      </c>
    </row>
    <row r="9" spans="1:2" x14ac:dyDescent="0.25">
      <c r="A9" s="12" t="s">
        <v>124</v>
      </c>
      <c r="B9">
        <v>52</v>
      </c>
    </row>
    <row r="10" spans="1:2" x14ac:dyDescent="0.25">
      <c r="A10" s="12" t="s">
        <v>185</v>
      </c>
      <c r="B10">
        <v>51.5</v>
      </c>
    </row>
    <row r="11" spans="1:2" x14ac:dyDescent="0.25">
      <c r="A11" s="12" t="s">
        <v>138</v>
      </c>
      <c r="B11">
        <v>51</v>
      </c>
    </row>
    <row r="12" spans="1:2" x14ac:dyDescent="0.25">
      <c r="A12" s="12" t="s">
        <v>184</v>
      </c>
      <c r="B12">
        <v>50.5</v>
      </c>
    </row>
    <row r="13" spans="1:2" x14ac:dyDescent="0.25">
      <c r="A13" s="12" t="s">
        <v>169</v>
      </c>
      <c r="B13">
        <v>50</v>
      </c>
    </row>
    <row r="14" spans="1:2" x14ac:dyDescent="0.25">
      <c r="A14" s="12" t="s">
        <v>189</v>
      </c>
      <c r="B14">
        <v>50</v>
      </c>
    </row>
    <row r="15" spans="1:2" x14ac:dyDescent="0.25">
      <c r="A15" s="12" t="s">
        <v>157</v>
      </c>
      <c r="B15">
        <v>49.5</v>
      </c>
    </row>
    <row r="16" spans="1:2" x14ac:dyDescent="0.25">
      <c r="A16" s="12" t="s">
        <v>191</v>
      </c>
      <c r="B16">
        <v>49.5</v>
      </c>
    </row>
    <row r="17" spans="1:2" x14ac:dyDescent="0.25">
      <c r="A17" s="12" t="s">
        <v>196</v>
      </c>
      <c r="B17">
        <v>49.5</v>
      </c>
    </row>
    <row r="18" spans="1:2" x14ac:dyDescent="0.25">
      <c r="A18" s="12" t="s">
        <v>137</v>
      </c>
      <c r="B18">
        <v>49.5</v>
      </c>
    </row>
    <row r="19" spans="1:2" x14ac:dyDescent="0.25">
      <c r="A19" s="12" t="s">
        <v>209</v>
      </c>
      <c r="B19">
        <v>49</v>
      </c>
    </row>
    <row r="20" spans="1:2" x14ac:dyDescent="0.25">
      <c r="A20" s="12" t="s">
        <v>154</v>
      </c>
      <c r="B20">
        <v>48.5</v>
      </c>
    </row>
    <row r="21" spans="1:2" x14ac:dyDescent="0.25">
      <c r="A21" s="12" t="s">
        <v>206</v>
      </c>
      <c r="B21">
        <v>48.5</v>
      </c>
    </row>
    <row r="22" spans="1:2" x14ac:dyDescent="0.25">
      <c r="A22" s="12" t="s">
        <v>176</v>
      </c>
      <c r="B22">
        <v>48</v>
      </c>
    </row>
    <row r="23" spans="1:2" x14ac:dyDescent="0.25">
      <c r="A23" s="12" t="s">
        <v>187</v>
      </c>
      <c r="B23">
        <v>48</v>
      </c>
    </row>
    <row r="24" spans="1:2" x14ac:dyDescent="0.25">
      <c r="A24" s="12" t="s">
        <v>181</v>
      </c>
      <c r="B24">
        <v>48</v>
      </c>
    </row>
    <row r="25" spans="1:2" x14ac:dyDescent="0.25">
      <c r="A25" s="12" t="s">
        <v>152</v>
      </c>
      <c r="B25">
        <v>48</v>
      </c>
    </row>
    <row r="26" spans="1:2" x14ac:dyDescent="0.25">
      <c r="A26" s="12" t="s">
        <v>192</v>
      </c>
      <c r="B26">
        <v>48</v>
      </c>
    </row>
    <row r="27" spans="1:2" x14ac:dyDescent="0.25">
      <c r="A27" s="12" t="s">
        <v>159</v>
      </c>
      <c r="B27">
        <v>47.5</v>
      </c>
    </row>
    <row r="28" spans="1:2" x14ac:dyDescent="0.25">
      <c r="A28" s="12" t="s">
        <v>84</v>
      </c>
      <c r="B28">
        <v>47.5</v>
      </c>
    </row>
    <row r="29" spans="1:2" x14ac:dyDescent="0.25">
      <c r="A29" s="12" t="s">
        <v>147</v>
      </c>
      <c r="B29">
        <v>47.5</v>
      </c>
    </row>
    <row r="30" spans="1:2" x14ac:dyDescent="0.25">
      <c r="A30" s="12" t="s">
        <v>179</v>
      </c>
      <c r="B30">
        <v>47</v>
      </c>
    </row>
    <row r="31" spans="1:2" x14ac:dyDescent="0.25">
      <c r="A31" s="12" t="s">
        <v>178</v>
      </c>
      <c r="B31">
        <v>47</v>
      </c>
    </row>
    <row r="32" spans="1:2" x14ac:dyDescent="0.25">
      <c r="A32" s="12" t="s">
        <v>156</v>
      </c>
      <c r="B32">
        <v>46.5</v>
      </c>
    </row>
    <row r="33" spans="1:2" x14ac:dyDescent="0.25">
      <c r="A33" s="12" t="s">
        <v>166</v>
      </c>
      <c r="B33">
        <v>46.5</v>
      </c>
    </row>
    <row r="34" spans="1:2" x14ac:dyDescent="0.25">
      <c r="A34" s="12" t="s">
        <v>170</v>
      </c>
      <c r="B34">
        <v>46.5</v>
      </c>
    </row>
    <row r="35" spans="1:2" x14ac:dyDescent="0.25">
      <c r="A35" s="12" t="s">
        <v>168</v>
      </c>
      <c r="B35">
        <v>46</v>
      </c>
    </row>
    <row r="36" spans="1:2" x14ac:dyDescent="0.25">
      <c r="A36" s="12" t="s">
        <v>153</v>
      </c>
      <c r="B36">
        <v>46</v>
      </c>
    </row>
    <row r="37" spans="1:2" x14ac:dyDescent="0.25">
      <c r="A37" s="12" t="s">
        <v>160</v>
      </c>
      <c r="B37">
        <v>45.5</v>
      </c>
    </row>
    <row r="38" spans="1:2" x14ac:dyDescent="0.25">
      <c r="A38" s="12" t="s">
        <v>202</v>
      </c>
      <c r="B38">
        <v>45.5</v>
      </c>
    </row>
    <row r="39" spans="1:2" x14ac:dyDescent="0.25">
      <c r="A39" s="12" t="s">
        <v>203</v>
      </c>
      <c r="B39">
        <v>45</v>
      </c>
    </row>
    <row r="40" spans="1:2" x14ac:dyDescent="0.25">
      <c r="A40" s="12" t="s">
        <v>215</v>
      </c>
      <c r="B40">
        <v>44.5</v>
      </c>
    </row>
    <row r="41" spans="1:2" x14ac:dyDescent="0.25">
      <c r="A41" s="12" t="s">
        <v>163</v>
      </c>
      <c r="B41">
        <v>44.5</v>
      </c>
    </row>
    <row r="42" spans="1:2" x14ac:dyDescent="0.25">
      <c r="A42" s="12" t="s">
        <v>172</v>
      </c>
      <c r="B42">
        <v>44.5</v>
      </c>
    </row>
    <row r="43" spans="1:2" x14ac:dyDescent="0.25">
      <c r="A43" s="12" t="s">
        <v>193</v>
      </c>
      <c r="B43">
        <v>43</v>
      </c>
    </row>
    <row r="44" spans="1:2" x14ac:dyDescent="0.25">
      <c r="A44" s="12" t="s">
        <v>175</v>
      </c>
      <c r="B44">
        <v>42.5</v>
      </c>
    </row>
    <row r="45" spans="1:2" x14ac:dyDescent="0.25">
      <c r="A45" s="12" t="s">
        <v>182</v>
      </c>
      <c r="B45">
        <v>42.5</v>
      </c>
    </row>
    <row r="46" spans="1:2" x14ac:dyDescent="0.25">
      <c r="A46" s="12" t="s">
        <v>130</v>
      </c>
      <c r="B46">
        <v>42.5</v>
      </c>
    </row>
    <row r="47" spans="1:2" x14ac:dyDescent="0.25">
      <c r="A47" s="12" t="s">
        <v>198</v>
      </c>
      <c r="B47">
        <v>42</v>
      </c>
    </row>
    <row r="48" spans="1:2" x14ac:dyDescent="0.25">
      <c r="A48" s="12" t="s">
        <v>213</v>
      </c>
      <c r="B48">
        <v>41</v>
      </c>
    </row>
    <row r="49" spans="1:2" x14ac:dyDescent="0.25">
      <c r="A49" s="12" t="s">
        <v>140</v>
      </c>
      <c r="B49">
        <v>38.5</v>
      </c>
    </row>
    <row r="50" spans="1:2" x14ac:dyDescent="0.25">
      <c r="A50" s="12" t="s">
        <v>245</v>
      </c>
      <c r="B50">
        <v>2298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40" workbookViewId="0">
      <selection activeCell="A63" sqref="A63"/>
    </sheetView>
  </sheetViews>
  <sheetFormatPr baseColWidth="10" defaultColWidth="10.7109375" defaultRowHeight="15" x14ac:dyDescent="0.25"/>
  <cols>
    <col min="1" max="1" width="19.42578125" bestFit="1" customWidth="1"/>
    <col min="2" max="3" width="18.85546875" bestFit="1" customWidth="1"/>
  </cols>
  <sheetData>
    <row r="1" spans="1:3" x14ac:dyDescent="0.25">
      <c r="A1" t="s">
        <v>90</v>
      </c>
      <c r="B1" s="15" t="s">
        <v>247</v>
      </c>
      <c r="C1" s="15" t="s">
        <v>248</v>
      </c>
    </row>
    <row r="2" spans="1:3" x14ac:dyDescent="0.25">
      <c r="A2" t="s">
        <v>119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117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127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246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143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114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142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112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121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171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116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115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144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118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139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145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113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126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128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131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132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120</v>
      </c>
    </row>
    <row r="51" spans="1:1" x14ac:dyDescent="0.25">
      <c r="A51" t="str">
        <f>+'Resultats Reals'!C4</f>
        <v>Corea del Sud</v>
      </c>
    </row>
    <row r="52" spans="1:1" x14ac:dyDescent="0.25">
      <c r="A52" t="str">
        <f>+'Resultats Reals'!C7</f>
        <v>Bòsnia i Hercegovina</v>
      </c>
    </row>
    <row r="53" spans="1:1" x14ac:dyDescent="0.25">
      <c r="A53" t="str">
        <f>+'Resultats Reals'!C10</f>
        <v>Escòcia</v>
      </c>
    </row>
    <row r="54" spans="1:1" x14ac:dyDescent="0.25">
      <c r="A54" t="str">
        <f>+'Resultats Reals'!C13</f>
        <v>Paraguai</v>
      </c>
    </row>
    <row r="55" spans="1:1" x14ac:dyDescent="0.25">
      <c r="A55" t="str">
        <f>+'Resultats Reals'!C16</f>
        <v>Equador</v>
      </c>
    </row>
    <row r="56" spans="1:1" x14ac:dyDescent="0.25">
      <c r="A56" t="str">
        <f>+'Resultats Reals'!C19</f>
        <v>Suècia</v>
      </c>
    </row>
    <row r="57" spans="1:1" x14ac:dyDescent="0.25">
      <c r="A57" t="str">
        <f>+'Resultats Reals'!C22</f>
        <v>Bèlgica</v>
      </c>
    </row>
    <row r="58" spans="1:1" x14ac:dyDescent="0.25">
      <c r="A58" t="str">
        <f>+'Resultats Reals'!C25</f>
        <v>Cap Verd</v>
      </c>
    </row>
    <row r="59" spans="1:1" x14ac:dyDescent="0.25">
      <c r="A59" t="str">
        <f>+'Resultats Reals'!C28</f>
        <v>Senegal</v>
      </c>
    </row>
    <row r="60" spans="1:1" x14ac:dyDescent="0.25">
      <c r="A60" t="str">
        <f>+'Resultats Reals'!C31</f>
        <v>Algèria</v>
      </c>
    </row>
    <row r="61" spans="1:1" x14ac:dyDescent="0.25">
      <c r="A61" t="str">
        <f>+'Resultats Reals'!C34</f>
        <v>RD Congo</v>
      </c>
    </row>
    <row r="62" spans="1:1" x14ac:dyDescent="0.25">
      <c r="A62" t="str">
        <f>+'Resultats Reals'!C37</f>
        <v>Croàcia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2026-06-26T06:20:20Z</dcterms:modified>
</cp:coreProperties>
</file>