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Test/"/>
    </mc:Choice>
  </mc:AlternateContent>
  <xr:revisionPtr revIDLastSave="27" documentId="13_ncr:1_{9F7B0128-7DB5-4D3F-8211-EFD2B59C2422}" xr6:coauthVersionLast="47" xr6:coauthVersionMax="47" xr10:uidLastSave="{5D948586-B671-41B2-BE5D-C99CFA9E49E9}"/>
  <bookViews>
    <workbookView xWindow="-108" yWindow="-108" windowWidth="23256" windowHeight="13896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F15" i="2" s="1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F20" i="2" s="1"/>
  <c r="CA20" i="2"/>
  <c r="BZ20" i="2"/>
  <c r="BY20" i="2"/>
  <c r="BX20" i="2"/>
  <c r="CE8" i="2"/>
  <c r="CF8" i="2" s="1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F26" i="2" s="1"/>
  <c r="CD26" i="2"/>
  <c r="CC26" i="2"/>
  <c r="CB26" i="2"/>
  <c r="CA26" i="2"/>
  <c r="BZ26" i="2"/>
  <c r="BY26" i="2"/>
  <c r="BX26" i="2"/>
  <c r="CE33" i="2"/>
  <c r="CD33" i="2"/>
  <c r="CC33" i="2"/>
  <c r="CB33" i="2"/>
  <c r="CF33" i="2" s="1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F23" i="2" s="1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F21" i="2" s="1"/>
  <c r="CD21" i="2"/>
  <c r="CC21" i="2"/>
  <c r="CB21" i="2"/>
  <c r="CA21" i="2"/>
  <c r="BZ21" i="2"/>
  <c r="BY21" i="2"/>
  <c r="BX21" i="2"/>
  <c r="CE29" i="2"/>
  <c r="CD29" i="2"/>
  <c r="CC29" i="2"/>
  <c r="CB29" i="2"/>
  <c r="CF29" i="2" s="1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F32" i="2" s="1"/>
  <c r="CA32" i="2"/>
  <c r="BZ32" i="2"/>
  <c r="BY32" i="2"/>
  <c r="BX32" i="2"/>
  <c r="CE40" i="2"/>
  <c r="CD40" i="2"/>
  <c r="CC40" i="2"/>
  <c r="CB40" i="2"/>
  <c r="CF40" i="2" s="1"/>
  <c r="CA40" i="2"/>
  <c r="BZ40" i="2"/>
  <c r="BY40" i="2"/>
  <c r="BX40" i="2"/>
  <c r="CE18" i="2"/>
  <c r="CD18" i="2"/>
  <c r="CC18" i="2"/>
  <c r="CF18" i="2" s="1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F36" i="2" s="1"/>
  <c r="CB36" i="2"/>
  <c r="CA36" i="2"/>
  <c r="BZ36" i="2"/>
  <c r="BY36" i="2"/>
  <c r="BX36" i="2"/>
  <c r="BU36" i="2"/>
  <c r="CE24" i="2"/>
  <c r="CD24" i="2"/>
  <c r="CC24" i="2"/>
  <c r="CF24" i="2" s="1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F38" i="2" s="1"/>
  <c r="CD38" i="2"/>
  <c r="CC38" i="2"/>
  <c r="CB38" i="2"/>
  <c r="CA38" i="2"/>
  <c r="BZ38" i="2"/>
  <c r="BY38" i="2"/>
  <c r="BX38" i="2"/>
  <c r="CE37" i="2"/>
  <c r="CD37" i="2"/>
  <c r="CC37" i="2"/>
  <c r="CB37" i="2"/>
  <c r="CF37" i="2" s="1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F16" i="2" s="1"/>
  <c r="CA16" i="2"/>
  <c r="BZ16" i="2"/>
  <c r="BY16" i="2"/>
  <c r="BX16" i="2"/>
  <c r="CE11" i="2"/>
  <c r="CF11" i="2" s="1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F45" i="2" s="1"/>
  <c r="CD45" i="2"/>
  <c r="CC45" i="2"/>
  <c r="CB45" i="2"/>
  <c r="CA45" i="2"/>
  <c r="BZ45" i="2"/>
  <c r="BY45" i="2"/>
  <c r="BX45" i="2"/>
  <c r="CE34" i="2"/>
  <c r="CD34" i="2"/>
  <c r="CC34" i="2"/>
  <c r="CB34" i="2"/>
  <c r="CF34" i="2" s="1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F25" i="2" s="1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F35" i="2" s="1"/>
  <c r="CD35" i="2"/>
  <c r="CC35" i="2"/>
  <c r="CB35" i="2"/>
  <c r="CA35" i="2"/>
  <c r="BZ35" i="2"/>
  <c r="BY35" i="2"/>
  <c r="BX35" i="2"/>
  <c r="CE12" i="2"/>
  <c r="CD12" i="2"/>
  <c r="CC12" i="2"/>
  <c r="CB12" i="2"/>
  <c r="CF12" i="2" s="1"/>
  <c r="CA12" i="2"/>
  <c r="BZ12" i="2"/>
  <c r="BY12" i="2"/>
  <c r="BX12" i="2"/>
  <c r="CE10" i="2"/>
  <c r="CF10" i="2" s="1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F41" i="2" s="1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F27" i="2" s="1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F13" i="2" s="1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4" i="2"/>
  <c r="CF17" i="2"/>
  <c r="CF5" i="2"/>
  <c r="CF9" i="2"/>
  <c r="CF2" i="2"/>
  <c r="CF4" i="2"/>
  <c r="CF7" i="2"/>
  <c r="B37" i="5"/>
  <c r="B36" i="5"/>
  <c r="B35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CF46" i="2" l="1"/>
  <c r="CF31" i="2"/>
  <c r="CF3" i="2"/>
  <c r="CF28" i="2"/>
  <c r="CF43" i="2"/>
  <c r="CF30" i="2"/>
  <c r="CF22" i="2"/>
  <c r="CF48" i="2"/>
  <c r="CF14" i="2"/>
  <c r="CF6" i="2"/>
  <c r="CF39" i="2"/>
  <c r="CF47" i="2"/>
  <c r="CF19" i="2"/>
  <c r="CF49" i="2"/>
  <c r="CF42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<sst xmlns="http://schemas.openxmlformats.org/spreadsheetml/2006/main" count="3937" uniqueCount="303">
  <si>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</si>
  <si>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</si>
  <si>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</si>
  <si>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</si>
  <si>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</si>
  <si>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</si>
  <si>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</si>
  <si>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</si>
  <si>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</si>
  <si>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</si>
  <si>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</si>
  <si>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</si>
  <si>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</si>
  <si>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</si>
  <si>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</si>
  <si>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</si>
  <si>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</si>
  <si>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</si>
  <si>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</si>
  <si>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</si>
  <si>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</si>
  <si>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</si>
  <si>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</si>
  <si>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</si>
  <si>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</si>
  <si>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</si>
  <si>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</si>
  <si>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</si>
  <si>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</si>
  <si>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</si>
  <si>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</si>
  <si>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</si>
  <si>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</si>
  <si>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</si>
  <si>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</si>
  <si>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</si>
  <si>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</si>
  <si>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</si>
  <si>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</si>
  <si>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</si>
  <si>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</si>
  <si>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</si>
  <si>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</si>
  <si>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</si>
  <si>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</si>
  <si>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</si>
  <si>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</si>
  <si>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</si>
  <si>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</si>
  <si>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</si>
  <si>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</si>
  <si>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</si>
  <si>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</si>
  <si>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</si>
  <si>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</si>
  <si>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</si>
  <si>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</si>
  <si>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</si>
  <si>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</si>
  <si>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</si>
  <si>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</si>
  <si>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</si>
  <si>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</si>
  <si>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</si>
  <si>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</si>
  <si>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</si>
  <si>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</si>
  <si>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</si>
  <si>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</si>
  <si>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</si>
  <si>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</si>
  <si>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</si>
  <si>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</si>
  <si>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</si>
  <si>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</si>
  <si>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</si>
  <si>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</si>
  <si>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</si>
  <si>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</si>
  <si>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</si>
  <si>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</si>
  <si>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</si>
  <si>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</si>
  <si>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</si>
  <si>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</si>
  <si>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</si>
  <si>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</si>
  <si>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</si>
  <si>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</si>
  <si>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</si>
  <si>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</si>
  <si>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</si>
  <si>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</si>
  <si>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</si>
  <si>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</si>
  <si>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</si>
  <si>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</si>
  <si>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</si>
  <si>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</si>
  <si>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</si>
  <si>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</si>
  <si>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</si>
  <si>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</si>
  <si>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</si>
  <si>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</si>
  <si>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</si>
  <si>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</si>
  <si>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</si>
  <si>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</si>
  <si>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</si>
  <si>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</si>
  <si>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</si>
  <si>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</si>
  <si>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</si>
  <si>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</si>
  <si>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</si>
  <si>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</si>
  <si>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</si>
  <si>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</si>
  <si>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</si>
  <si>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</si>
  <si>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</si>
  <si>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</si>
  <si>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</si>
  <si>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</si>
  <si>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</si>
  <si>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</si>
  <si>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</si>
  <si>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</si>
  <si>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</si>
  <si>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</si>
  <si>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</si>
  <si>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</si>
  <si>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</si>
  <si>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</si>
  <si>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</si>
  <si>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</si>
  <si>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</si>
  <si>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</si>
  <si>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</si>
  <si>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</si>
  <si>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</si>
  <si>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</si>
  <si>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</si>
  <si>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</si>
  <si>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</si>
  <si>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</si>
  <si>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</si>
  <si>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</si>
  <si>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</si>
  <si>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</si>
  <si>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</si>
  <si>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</si>
  <si>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</si>
  <si>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</si>
  <si>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</si>
  <si>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</si>
  <si>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</si>
  <si>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</si>
  <si>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</si>
  <si>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</si>
  <si>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</si>
  <si>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</si>
  <si>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</si>
  <si>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</si>
  <si>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</si>
  <si>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</si>
  <si>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</si>
  <si>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</si>
  <si>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</si>
  <si>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</si>
  <si>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</si>
  <si>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</si>
  <si>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</si>
  <si>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</si>
  <si>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</si>
  <si>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</si>
  <si>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</si>
  <si>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</si>
  <si>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</si>
  <si>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</si>
  <si>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</si>
  <si>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</si>
  <si>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</si>
  <si>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</si>
  <si>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</si>
  <si>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</si>
  <si>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</si>
  <si>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</si>
  <si>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</si>
  <si>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</si>
  <si>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</si>
  <si>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</si>
  <si>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</si>
  <si>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</si>
  <si>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</si>
  <si>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</si>
  <si>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</si>
  <si>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</si>
  <si>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</si>
  <si>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</si>
  <si>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</si>
  <si>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</si>
  <si>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</si>
  <si>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</si>
  <si>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</si>
  <si>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</si>
  <si>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</si>
  <si>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</si>
  <si>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</si>
  <si>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</si>
  <si>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</si>
  <si>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</si>
  <si>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</si>
  <si>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</si>
  <si>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</si>
  <si>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</si>
  <si>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</si>
  <si>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</si>
  <si>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</si>
  <si>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</si>
  <si>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</si>
  <si>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</si>
  <si>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</si>
  <si>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</si>
  <si>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</si>
  <si>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</si>
  <si>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</si>
  <si>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</si>
  <si>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</si>
  <si>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</si>
  <si>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</si>
  <si>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</si>
  <si>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</si>
  <si>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</si>
  <si>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</si>
  <si>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</si>
  <si>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</si>
  <si>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</si>
  <si>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</si>
  <si>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</si>
  <si>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</si>
  <si>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</si>
  <si>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</si>
  <si>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</si>
  <si>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</si>
  <si>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</si>
  <si>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</si>
  <si>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</si>
  <si>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</si>
  <si>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</si>
  <si>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</si>
  <si>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</si>
  <si>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</si>
  <si>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</si>
  <si>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</si>
  <si>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</si>
  <si>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</si>
  <si>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</si>
  <si>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</si>
  <si>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</si>
  <si>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</si>
  <si>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</si>
  <si>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</si>
  <si>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</si>
  <si>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</si>
  <si>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</si>
  <si>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</si>
  <si>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</si>
  <si>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</si>
  <si>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</si>
  <si>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</si>
  <si>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</si>
  <si>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</si>
  <si>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</si>
  <si>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</si>
  <si>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</si>
  <si>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</si>
  <si>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</si>
  <si>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</si>
  <si>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</si>
  <si>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</si>
  <si>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</si>
  <si>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</si>
  <si>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</si>
  <si>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</si>
  <si>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</si>
  <si>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</si>
  <si>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</si>
  <si>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</si>
  <si>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</si>
  <si>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</si>
  <si>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</si>
  <si>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</si>
  <si>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</si>
  <si>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</si>
  <si>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</si>
  <si>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0-2</t>
  </si>
  <si>
    <t>3-4</t>
  </si>
  <si>
    <t>2-2</t>
  </si>
  <si>
    <t>Espanya vs Argentina</t>
  </si>
  <si>
    <t>França vs Anglaterra</t>
  </si>
  <si>
    <t>4-6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</si>
</sst>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  <xf numFmtId="16" fontId="0" fillId="0" borderId="2" xfId="0" quotePrefix="1" applyNumberForma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workbookViewId="0">
      <selection activeCell="L3" sqref="L3"/>
    </sheetView>
  </sheetViews>
  <sheetFormatPr baseColWidth="10" defaultColWidth="9.109375" defaultRowHeight="14.4" x14ac:dyDescent="0.3"/>
  <cols>
    <col min="1" max="1" width="6.88671875" bestFit="1" customWidth="1"/>
    <col min="2" max="2" width="8.21875" bestFit="1" customWidth="1"/>
    <col min="3" max="3" width="18.5546875" bestFit="1" customWidth="1"/>
    <col min="5" max="5" width="18.5546875" bestFit="1" customWidth="1"/>
    <col min="6" max="6" width="10.77734375" bestFit="1" customWidth="1"/>
    <col min="7" max="7" width="9.6640625" bestFit="1" customWidth="1"/>
    <col min="8" max="8" width="9.44140625" bestFit="1" customWidth="1"/>
    <col min="9" max="9" width="10.21875" bestFit="1" customWidth="1"/>
    <col min="10" max="10" width="8.44140625" bestFit="1" customWidth="1"/>
    <col min="11" max="11" width="7.88671875" bestFit="1" customWidth="1"/>
    <col min="12" max="12" width="14.5546875" bestFit="1" customWidth="1"/>
    <col min="13" max="13" width="10" customWidth="1"/>
    <col min="14" max="14" width="20.5546875" bestFit="1" customWidth="1"/>
    <col min="15" max="15" width="8.21875" bestFit="1" customWidth="1"/>
    <col min="18" max="18" width="8.77734375" bestFit="1" customWidth="1"/>
    <col min="19" max="19" width="9.44140625" bestFit="1" customWidth="1"/>
    <col min="20" max="20" width="15.33203125" bestFit="1" customWidth="1"/>
  </cols>
  <sheetData>
    <row r="1" spans="1:15" x14ac:dyDescent="0.3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3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93</v>
      </c>
      <c r="K2" s="10" t="s">
        <v>121</v>
      </c>
      <c r="L2" s="24" t="s">
        <v>264</v>
      </c>
      <c r="N2" t="s">
        <v>157</v>
      </c>
      <c r="O2" s="3">
        <v>8</v>
      </c>
    </row>
    <row r="3" spans="1:15" x14ac:dyDescent="0.3">
      <c r="A3" s="19" t="s">
        <v>220</v>
      </c>
      <c r="B3" s="2" t="s">
        <v>222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10</v>
      </c>
    </row>
    <row r="4" spans="1:15" x14ac:dyDescent="0.3">
      <c r="A4" s="19" t="s">
        <v>220</v>
      </c>
      <c r="B4" s="2" t="s">
        <v>223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3">
      <c r="A5" s="19" t="s">
        <v>224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3">
      <c r="A6" s="19" t="s">
        <v>224</v>
      </c>
      <c r="B6" s="2" t="s">
        <v>222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3">
      <c r="A7" s="19" t="s">
        <v>224</v>
      </c>
      <c r="B7" s="2" t="s">
        <v>223</v>
      </c>
      <c r="C7" s="16" t="s">
        <v>238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3">
      <c r="A8" s="19" t="s">
        <v>225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3">
      <c r="A9" s="19" t="s">
        <v>225</v>
      </c>
      <c r="B9" s="2" t="s">
        <v>222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3">
      <c r="A10" s="19" t="s">
        <v>225</v>
      </c>
      <c r="B10" s="2" t="s">
        <v>223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3">
      <c r="A11" s="19" t="s">
        <v>226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3">
      <c r="A12" s="19" t="s">
        <v>226</v>
      </c>
      <c r="B12" s="2" t="s">
        <v>222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3">
      <c r="A13" s="19" t="s">
        <v>226</v>
      </c>
      <c r="B13" s="2" t="s">
        <v>223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3">
      <c r="A14" s="19" t="s">
        <v>227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3">
      <c r="A15" s="19" t="s">
        <v>227</v>
      </c>
      <c r="B15" s="2" t="s">
        <v>222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3">
      <c r="A16" s="19" t="s">
        <v>227</v>
      </c>
      <c r="B16" s="2" t="s">
        <v>223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3">
      <c r="A17" s="19" t="s">
        <v>228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3">
      <c r="A18" s="19" t="s">
        <v>228</v>
      </c>
      <c r="B18" s="2" t="s">
        <v>222</v>
      </c>
      <c r="C18" s="3" t="s">
        <v>114</v>
      </c>
      <c r="E18" s="14" t="str">
        <f>+C26</f>
        <v>França</v>
      </c>
    </row>
    <row r="19" spans="1:6" x14ac:dyDescent="0.3">
      <c r="A19" s="19" t="s">
        <v>228</v>
      </c>
      <c r="B19" s="2" t="s">
        <v>223</v>
      </c>
      <c r="C19" s="16" t="s">
        <v>103</v>
      </c>
      <c r="E19" s="14" t="str">
        <f>+C27</f>
        <v>Noruega</v>
      </c>
    </row>
    <row r="20" spans="1:6" x14ac:dyDescent="0.3">
      <c r="A20" s="2" t="s">
        <v>229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3">
      <c r="A21" s="2" t="s">
        <v>229</v>
      </c>
      <c r="B21" s="2" t="s">
        <v>222</v>
      </c>
      <c r="C21" s="3" t="s">
        <v>104</v>
      </c>
      <c r="E21" s="14" t="str">
        <f>+C30</f>
        <v>Àustria</v>
      </c>
    </row>
    <row r="22" spans="1:6" x14ac:dyDescent="0.3">
      <c r="A22" s="2" t="s">
        <v>229</v>
      </c>
      <c r="B22" s="2" t="s">
        <v>223</v>
      </c>
      <c r="C22" s="16" t="s">
        <v>115</v>
      </c>
      <c r="E22" s="14" t="str">
        <f>+C32</f>
        <v>Colòmbia</v>
      </c>
    </row>
    <row r="23" spans="1:6" x14ac:dyDescent="0.3">
      <c r="A23" s="2" t="s">
        <v>230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3">
      <c r="A24" s="2" t="s">
        <v>230</v>
      </c>
      <c r="B24" s="2" t="s">
        <v>222</v>
      </c>
      <c r="C24" s="3" t="s">
        <v>142</v>
      </c>
      <c r="E24" s="14" t="str">
        <f>+C35</f>
        <v>Anglaterra</v>
      </c>
    </row>
    <row r="25" spans="1:6" x14ac:dyDescent="0.3">
      <c r="A25" s="2" t="s">
        <v>230</v>
      </c>
      <c r="B25" s="2" t="s">
        <v>223</v>
      </c>
      <c r="C25" s="16" t="s">
        <v>105</v>
      </c>
      <c r="E25" s="14" t="str">
        <f>+C36</f>
        <v>Croàcia</v>
      </c>
    </row>
    <row r="26" spans="1:6" x14ac:dyDescent="0.3">
      <c r="A26" s="2" t="s">
        <v>231</v>
      </c>
      <c r="B26" s="2" t="s">
        <v>221</v>
      </c>
      <c r="C26" s="3" t="s">
        <v>94</v>
      </c>
      <c r="E26" s="10" t="s">
        <v>127</v>
      </c>
      <c r="F26" s="3"/>
    </row>
    <row r="27" spans="1:6" x14ac:dyDescent="0.3">
      <c r="A27" s="2" t="s">
        <v>231</v>
      </c>
      <c r="B27" s="2" t="s">
        <v>222</v>
      </c>
      <c r="C27" s="3" t="s">
        <v>117</v>
      </c>
      <c r="E27" s="10" t="s">
        <v>103</v>
      </c>
    </row>
    <row r="28" spans="1:6" x14ac:dyDescent="0.3">
      <c r="A28" s="2" t="s">
        <v>231</v>
      </c>
      <c r="B28" s="2" t="s">
        <v>223</v>
      </c>
      <c r="C28" s="16" t="s">
        <v>106</v>
      </c>
      <c r="E28" s="10" t="s">
        <v>120</v>
      </c>
    </row>
    <row r="29" spans="1:6" x14ac:dyDescent="0.3">
      <c r="A29" s="2" t="s">
        <v>232</v>
      </c>
      <c r="B29" s="2" t="s">
        <v>221</v>
      </c>
      <c r="C29" s="3" t="s">
        <v>95</v>
      </c>
      <c r="E29" s="10" t="s">
        <v>102</v>
      </c>
    </row>
    <row r="30" spans="1:6" x14ac:dyDescent="0.3">
      <c r="A30" s="2" t="s">
        <v>232</v>
      </c>
      <c r="B30" s="2" t="s">
        <v>222</v>
      </c>
      <c r="C30" s="13" t="s">
        <v>107</v>
      </c>
      <c r="E30" s="10" t="s">
        <v>238</v>
      </c>
    </row>
    <row r="31" spans="1:6" x14ac:dyDescent="0.3">
      <c r="A31" s="2" t="s">
        <v>232</v>
      </c>
      <c r="B31" s="2" t="s">
        <v>223</v>
      </c>
      <c r="C31" s="17" t="s">
        <v>118</v>
      </c>
      <c r="E31" s="10" t="s">
        <v>112</v>
      </c>
    </row>
    <row r="32" spans="1:6" x14ac:dyDescent="0.3">
      <c r="A32" s="2" t="s">
        <v>233</v>
      </c>
      <c r="B32" s="2" t="s">
        <v>221</v>
      </c>
      <c r="C32" s="3" t="s">
        <v>108</v>
      </c>
      <c r="E32" s="10" t="s">
        <v>118</v>
      </c>
    </row>
    <row r="33" spans="1:5" x14ac:dyDescent="0.3">
      <c r="A33" s="2" t="s">
        <v>233</v>
      </c>
      <c r="B33" s="2" t="s">
        <v>222</v>
      </c>
      <c r="C33" s="3" t="s">
        <v>96</v>
      </c>
      <c r="E33" s="10" t="s">
        <v>106</v>
      </c>
    </row>
    <row r="34" spans="1:5" x14ac:dyDescent="0.3">
      <c r="A34" s="2" t="s">
        <v>233</v>
      </c>
      <c r="B34" s="2" t="s">
        <v>223</v>
      </c>
      <c r="C34" s="16" t="s">
        <v>127</v>
      </c>
    </row>
    <row r="35" spans="1:5" x14ac:dyDescent="0.3">
      <c r="A35" s="2" t="s">
        <v>234</v>
      </c>
      <c r="B35" s="2" t="s">
        <v>221</v>
      </c>
      <c r="C35" s="3" t="s">
        <v>97</v>
      </c>
    </row>
    <row r="36" spans="1:5" x14ac:dyDescent="0.3">
      <c r="A36" s="2" t="s">
        <v>234</v>
      </c>
      <c r="B36" s="2" t="s">
        <v>222</v>
      </c>
      <c r="C36" s="3" t="s">
        <v>109</v>
      </c>
    </row>
    <row r="37" spans="1:5" x14ac:dyDescent="0.3">
      <c r="A37" s="2" t="s">
        <v>234</v>
      </c>
      <c r="B37" s="2" t="s">
        <v>223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B22" zoomScaleNormal="60" zoomScaleSheetLayoutView="100" workbookViewId="0">
      <selection activeCell="E34" sqref="E34"/>
    </sheetView>
  </sheetViews>
  <sheetFormatPr baseColWidth="10" defaultColWidth="11.33203125" defaultRowHeight="14.4" x14ac:dyDescent="0.3"/>
  <cols>
    <col min="1" max="1" width="14.5546875" bestFit="1" customWidth="1"/>
    <col min="2" max="2" width="58.21875" customWidth="1"/>
    <col min="3" max="3" width="17.88671875" bestFit="1" customWidth="1"/>
    <col min="5" max="5" width="23.109375" customWidth="1"/>
    <col min="9" max="9" width="51.6640625" customWidth="1"/>
  </cols>
  <sheetData>
    <row r="1" spans="1:5" x14ac:dyDescent="0.3">
      <c r="A1" s="18" t="s">
        <v>241</v>
      </c>
      <c r="B1" s="18" t="s">
        <v>242</v>
      </c>
      <c r="C1" s="18" t="s">
        <v>243</v>
      </c>
      <c r="D1" s="18" t="s">
        <v>244</v>
      </c>
      <c r="E1" s="18" t="s">
        <v>245</v>
      </c>
    </row>
    <row r="2" spans="1:5" x14ac:dyDescent="0.3">
      <c r="A2" t="s">
        <v>263</v>
      </c>
      <c r="B2" t="s">
        <v>247</v>
      </c>
      <c r="C2" s="20">
        <v>46201</v>
      </c>
      <c r="D2" t="s">
        <v>280</v>
      </c>
      <c r="E2" s="21" t="s">
        <v>246</v>
      </c>
    </row>
    <row r="3" spans="1:5" x14ac:dyDescent="0.3">
      <c r="A3" t="s">
        <v>263</v>
      </c>
      <c r="B3" t="s">
        <v>248</v>
      </c>
      <c r="C3" s="20">
        <v>46202</v>
      </c>
      <c r="D3" t="s">
        <v>280</v>
      </c>
      <c r="E3" s="21" t="s">
        <v>264</v>
      </c>
    </row>
    <row r="4" spans="1:5" x14ac:dyDescent="0.3">
      <c r="A4" t="s">
        <v>263</v>
      </c>
      <c r="B4" t="s">
        <v>249</v>
      </c>
      <c r="C4" s="20">
        <v>46202</v>
      </c>
      <c r="D4" t="s">
        <v>280</v>
      </c>
      <c r="E4" s="21" t="s">
        <v>265</v>
      </c>
    </row>
    <row r="5" spans="1:5" x14ac:dyDescent="0.3">
      <c r="A5" t="s">
        <v>263</v>
      </c>
      <c r="B5" t="s">
        <v>250</v>
      </c>
      <c r="C5" s="20">
        <v>46203</v>
      </c>
      <c r="D5" t="s">
        <v>280</v>
      </c>
      <c r="E5" s="21" t="s">
        <v>266</v>
      </c>
    </row>
    <row r="6" spans="1:5" x14ac:dyDescent="0.3">
      <c r="A6" t="s">
        <v>263</v>
      </c>
      <c r="B6" t="s">
        <v>251</v>
      </c>
      <c r="C6" s="20">
        <v>46203</v>
      </c>
      <c r="D6" t="s">
        <v>280</v>
      </c>
      <c r="E6" s="21" t="s">
        <v>267</v>
      </c>
    </row>
    <row r="7" spans="1:5" x14ac:dyDescent="0.3">
      <c r="A7" t="s">
        <v>263</v>
      </c>
      <c r="B7" t="s">
        <v>252</v>
      </c>
      <c r="C7" s="20">
        <v>46203</v>
      </c>
      <c r="D7" t="s">
        <v>280</v>
      </c>
      <c r="E7" s="21" t="s">
        <v>268</v>
      </c>
    </row>
    <row r="8" spans="1:5" x14ac:dyDescent="0.3">
      <c r="A8" t="s">
        <v>263</v>
      </c>
      <c r="B8" t="s">
        <v>253</v>
      </c>
      <c r="C8" s="20">
        <v>46204</v>
      </c>
      <c r="D8" t="s">
        <v>280</v>
      </c>
      <c r="E8" s="21" t="s">
        <v>164</v>
      </c>
    </row>
    <row r="9" spans="1:5" x14ac:dyDescent="0.3">
      <c r="A9" t="s">
        <v>263</v>
      </c>
      <c r="B9" t="s">
        <v>254</v>
      </c>
      <c r="C9" s="20">
        <v>46204</v>
      </c>
      <c r="D9" t="s">
        <v>280</v>
      </c>
      <c r="E9" s="21" t="s">
        <v>264</v>
      </c>
    </row>
    <row r="10" spans="1:5" x14ac:dyDescent="0.3">
      <c r="A10" t="s">
        <v>263</v>
      </c>
      <c r="B10" t="s">
        <v>255</v>
      </c>
      <c r="C10" s="20">
        <v>46204</v>
      </c>
      <c r="D10" t="s">
        <v>280</v>
      </c>
      <c r="E10" s="21" t="s">
        <v>269</v>
      </c>
    </row>
    <row r="11" spans="1:5" x14ac:dyDescent="0.3">
      <c r="A11" t="s">
        <v>263</v>
      </c>
      <c r="B11" t="s">
        <v>256</v>
      </c>
      <c r="C11" s="20">
        <v>46205</v>
      </c>
      <c r="D11" t="s">
        <v>280</v>
      </c>
      <c r="E11" s="21" t="s">
        <v>164</v>
      </c>
    </row>
    <row r="12" spans="1:5" x14ac:dyDescent="0.3">
      <c r="A12" t="s">
        <v>263</v>
      </c>
      <c r="B12" t="s">
        <v>257</v>
      </c>
      <c r="C12" s="20">
        <v>46205</v>
      </c>
      <c r="D12" t="s">
        <v>280</v>
      </c>
      <c r="E12" s="21" t="s">
        <v>268</v>
      </c>
    </row>
    <row r="13" spans="1:5" x14ac:dyDescent="0.3">
      <c r="A13" t="s">
        <v>263</v>
      </c>
      <c r="B13" t="s">
        <v>258</v>
      </c>
      <c r="C13" s="20">
        <v>46206</v>
      </c>
      <c r="D13" t="s">
        <v>280</v>
      </c>
      <c r="E13" s="21" t="s">
        <v>264</v>
      </c>
    </row>
    <row r="14" spans="1:5" x14ac:dyDescent="0.3">
      <c r="A14" t="s">
        <v>263</v>
      </c>
      <c r="B14" t="s">
        <v>259</v>
      </c>
      <c r="C14" s="20">
        <v>46206</v>
      </c>
      <c r="D14" t="s">
        <v>280</v>
      </c>
      <c r="E14" s="21" t="s">
        <v>164</v>
      </c>
    </row>
    <row r="15" spans="1:5" x14ac:dyDescent="0.3">
      <c r="A15" t="s">
        <v>263</v>
      </c>
      <c r="B15" t="s">
        <v>260</v>
      </c>
      <c r="C15" s="20">
        <v>46206</v>
      </c>
      <c r="D15" t="s">
        <v>280</v>
      </c>
      <c r="E15" s="21" t="s">
        <v>270</v>
      </c>
    </row>
    <row r="16" spans="1:5" x14ac:dyDescent="0.3">
      <c r="A16" t="s">
        <v>263</v>
      </c>
      <c r="B16" t="s">
        <v>261</v>
      </c>
      <c r="C16" s="20">
        <v>46207</v>
      </c>
      <c r="D16" t="s">
        <v>280</v>
      </c>
      <c r="E16" s="21" t="s">
        <v>269</v>
      </c>
    </row>
    <row r="17" spans="1:5" x14ac:dyDescent="0.3">
      <c r="A17" t="s">
        <v>263</v>
      </c>
      <c r="B17" t="s">
        <v>262</v>
      </c>
      <c r="C17" s="20">
        <v>46207</v>
      </c>
      <c r="D17" t="s">
        <v>280</v>
      </c>
      <c r="E17" s="21" t="s">
        <v>271</v>
      </c>
    </row>
    <row r="18" spans="1:5" x14ac:dyDescent="0.3">
      <c r="A18" t="s">
        <v>272</v>
      </c>
      <c r="B18" t="s">
        <v>279</v>
      </c>
      <c r="C18" s="20">
        <v>46207</v>
      </c>
      <c r="D18" t="s">
        <v>280</v>
      </c>
      <c r="E18" t="s">
        <v>281</v>
      </c>
    </row>
    <row r="19" spans="1:5" x14ac:dyDescent="0.3">
      <c r="A19" t="s">
        <v>272</v>
      </c>
      <c r="B19" t="s">
        <v>282</v>
      </c>
      <c r="C19" s="20">
        <v>46207</v>
      </c>
      <c r="D19" t="s">
        <v>280</v>
      </c>
      <c r="E19" t="s">
        <v>283</v>
      </c>
    </row>
    <row r="20" spans="1:5" x14ac:dyDescent="0.3">
      <c r="A20" t="s">
        <v>272</v>
      </c>
      <c r="B20" t="s">
        <v>284</v>
      </c>
      <c r="C20" s="20">
        <v>46208</v>
      </c>
      <c r="D20" t="s">
        <v>280</v>
      </c>
      <c r="E20" s="22" t="s">
        <v>267</v>
      </c>
    </row>
    <row r="21" spans="1:5" x14ac:dyDescent="0.3">
      <c r="A21" t="s">
        <v>272</v>
      </c>
      <c r="B21" t="s">
        <v>285</v>
      </c>
      <c r="C21" s="20">
        <v>46208</v>
      </c>
      <c r="D21" t="s">
        <v>280</v>
      </c>
      <c r="E21" s="22" t="s">
        <v>286</v>
      </c>
    </row>
    <row r="22" spans="1:5" x14ac:dyDescent="0.3">
      <c r="A22" t="s">
        <v>272</v>
      </c>
      <c r="B22" t="s">
        <v>273</v>
      </c>
      <c r="C22" s="20">
        <v>46209</v>
      </c>
      <c r="D22" t="s">
        <v>280</v>
      </c>
      <c r="E22" s="22" t="s">
        <v>246</v>
      </c>
    </row>
    <row r="23" spans="1:5" x14ac:dyDescent="0.3">
      <c r="A23" t="s">
        <v>272</v>
      </c>
      <c r="B23" t="s">
        <v>287</v>
      </c>
      <c r="C23" s="20">
        <v>46210</v>
      </c>
      <c r="D23" t="s">
        <v>280</v>
      </c>
      <c r="E23" s="22" t="s">
        <v>289</v>
      </c>
    </row>
    <row r="24" spans="1:5" x14ac:dyDescent="0.3">
      <c r="A24" t="s">
        <v>272</v>
      </c>
      <c r="B24" t="s">
        <v>274</v>
      </c>
      <c r="C24" s="20">
        <v>46210</v>
      </c>
      <c r="D24" t="s">
        <v>280</v>
      </c>
      <c r="E24" s="21" t="s">
        <v>269</v>
      </c>
    </row>
    <row r="25" spans="1:5" x14ac:dyDescent="0.3">
      <c r="A25" t="s">
        <v>272</v>
      </c>
      <c r="B25" t="s">
        <v>275</v>
      </c>
      <c r="C25" s="20">
        <v>46209</v>
      </c>
      <c r="D25" t="s">
        <v>280</v>
      </c>
      <c r="E25" s="21" t="s">
        <v>290</v>
      </c>
    </row>
    <row r="26" spans="1:5" x14ac:dyDescent="0.3">
      <c r="A26" t="s">
        <v>276</v>
      </c>
      <c r="B26" t="s">
        <v>277</v>
      </c>
      <c r="C26" s="20">
        <v>46212</v>
      </c>
      <c r="D26" t="s">
        <v>280</v>
      </c>
      <c r="E26" s="21" t="s">
        <v>164</v>
      </c>
    </row>
    <row r="27" spans="1:5" x14ac:dyDescent="0.3">
      <c r="A27" t="s">
        <v>276</v>
      </c>
      <c r="B27" t="s">
        <v>288</v>
      </c>
      <c r="C27" s="20">
        <v>46213</v>
      </c>
      <c r="D27" t="s">
        <v>280</v>
      </c>
      <c r="E27" s="21" t="s">
        <v>264</v>
      </c>
    </row>
    <row r="28" spans="1:5" x14ac:dyDescent="0.3">
      <c r="A28" t="s">
        <v>276</v>
      </c>
      <c r="B28" t="s">
        <v>278</v>
      </c>
      <c r="C28" s="20">
        <v>46214</v>
      </c>
      <c r="D28" t="s">
        <v>280</v>
      </c>
      <c r="E28" s="21" t="s">
        <v>267</v>
      </c>
    </row>
    <row r="29" spans="1:5" x14ac:dyDescent="0.3">
      <c r="A29" t="s">
        <v>276</v>
      </c>
      <c r="B29" t="s">
        <v>291</v>
      </c>
      <c r="C29" s="20">
        <v>46215</v>
      </c>
      <c r="D29" t="s">
        <v>280</v>
      </c>
      <c r="E29" s="21" t="s">
        <v>209</v>
      </c>
    </row>
    <row r="30" spans="1:5" x14ac:dyDescent="0.3">
      <c r="A30" t="s">
        <v>292</v>
      </c>
      <c r="B30" t="s">
        <v>293</v>
      </c>
      <c r="C30" s="20">
        <v>46217</v>
      </c>
      <c r="D30" t="s">
        <v>280</v>
      </c>
      <c r="E30" s="21" t="s">
        <v>297</v>
      </c>
    </row>
    <row r="31" spans="1:5" x14ac:dyDescent="0.3">
      <c r="A31" t="s">
        <v>292</v>
      </c>
      <c r="B31" t="s">
        <v>294</v>
      </c>
      <c r="C31" s="20">
        <v>46218</v>
      </c>
      <c r="D31" t="s">
        <v>280</v>
      </c>
      <c r="E31" s="21" t="s">
        <v>267</v>
      </c>
    </row>
    <row r="32" spans="1:5" x14ac:dyDescent="0.3">
      <c r="A32" t="s">
        <v>295</v>
      </c>
      <c r="B32" t="s">
        <v>301</v>
      </c>
      <c r="C32" s="20">
        <v>46221</v>
      </c>
      <c r="D32" t="s">
        <v>280</v>
      </c>
      <c r="E32" s="22" t="s">
        <v>302</v>
      </c>
    </row>
    <row r="33" spans="1:5" x14ac:dyDescent="0.3">
      <c r="A33" t="s">
        <v>296</v>
      </c>
      <c r="B33" t="s">
        <v>300</v>
      </c>
      <c r="C33" s="20">
        <v>46222</v>
      </c>
      <c r="D33" t="s">
        <v>280</v>
      </c>
      <c r="E33" t="s">
        <v>271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zoomScale="115" zoomScaleNormal="115" workbookViewId="0">
      <selection activeCell="BR27" sqref="BR27"/>
    </sheetView>
  </sheetViews>
  <sheetFormatPr baseColWidth="10" defaultColWidth="9.109375" defaultRowHeight="14.4" x14ac:dyDescent="0.3"/>
  <cols>
    <col min="1" max="1" width="29.44140625" bestFit="1" customWidth="1"/>
    <col min="2" max="2" width="29.44140625" hidden="1" customWidth="1"/>
    <col min="3" max="3" width="15.21875" hidden="1" customWidth="1"/>
    <col min="4" max="4" width="19.33203125" hidden="1" customWidth="1"/>
    <col min="5" max="5" width="9.5546875" hidden="1" customWidth="1"/>
    <col min="6" max="6" width="11.109375" hidden="1" customWidth="1"/>
    <col min="7" max="7" width="11.88671875" hidden="1" customWidth="1"/>
    <col min="8" max="8" width="12.5546875" hidden="1" customWidth="1"/>
    <col min="9" max="9" width="13" hidden="1" customWidth="1"/>
    <col min="10" max="10" width="9.5546875" hidden="1" customWidth="1"/>
    <col min="11" max="11" width="8.88671875" hidden="1" customWidth="1"/>
    <col min="12" max="12" width="9.6640625" hidden="1" customWidth="1"/>
    <col min="13" max="13" width="9.5546875" hidden="1" customWidth="1"/>
    <col min="14" max="14" width="10.21875" hidden="1" customWidth="1"/>
    <col min="15" max="15" width="15.21875" hidden="1" customWidth="1"/>
    <col min="16" max="16" width="19.33203125" hidden="1" customWidth="1"/>
    <col min="17" max="17" width="10" hidden="1" customWidth="1"/>
    <col min="18" max="18" width="11.109375" hidden="1" customWidth="1"/>
    <col min="19" max="19" width="12" hidden="1" customWidth="1"/>
    <col min="20" max="20" width="12.5546875" hidden="1" customWidth="1"/>
    <col min="21" max="21" width="13" hidden="1" customWidth="1"/>
    <col min="22" max="22" width="10" hidden="1" customWidth="1"/>
    <col min="23" max="23" width="9.33203125" hidden="1" customWidth="1"/>
    <col min="24" max="24" width="9.6640625" hidden="1" customWidth="1"/>
    <col min="25" max="25" width="10" hidden="1" customWidth="1"/>
    <col min="26" max="26" width="10.21875" hidden="1" customWidth="1"/>
    <col min="27" max="27" width="15.21875" hidden="1" customWidth="1"/>
    <col min="28" max="28" width="19.33203125" hidden="1" customWidth="1"/>
    <col min="29" max="29" width="9.5546875" hidden="1" customWidth="1"/>
    <col min="30" max="30" width="11.109375" hidden="1" customWidth="1"/>
    <col min="31" max="31" width="11.88671875" hidden="1" customWidth="1"/>
    <col min="32" max="32" width="12.5546875" hidden="1" customWidth="1"/>
    <col min="33" max="33" width="13" hidden="1" customWidth="1"/>
    <col min="34" max="34" width="13.6640625" hidden="1" customWidth="1"/>
    <col min="35" max="35" width="8.88671875" hidden="1" customWidth="1"/>
    <col min="36" max="36" width="9.33203125" hidden="1" customWidth="1"/>
    <col min="37" max="37" width="10.77734375" hidden="1" customWidth="1"/>
    <col min="38" max="38" width="9.44140625" hidden="1" customWidth="1"/>
    <col min="39" max="40" width="13.21875" hidden="1" customWidth="1"/>
    <col min="41" max="41" width="19.33203125" hidden="1" customWidth="1"/>
    <col min="42" max="43" width="12.5546875" hidden="1" customWidth="1"/>
    <col min="44" max="44" width="13.44140625" hidden="1" customWidth="1"/>
    <col min="45" max="46" width="12.5546875" hidden="1" customWidth="1"/>
    <col min="47" max="47" width="11.109375" hidden="1" customWidth="1"/>
    <col min="48" max="48" width="12.5546875" hidden="1" customWidth="1"/>
    <col min="49" max="49" width="15.21875" hidden="1" customWidth="1"/>
    <col min="50" max="50" width="11.88671875" hidden="1" customWidth="1"/>
    <col min="51" max="51" width="13.21875" hidden="1" customWidth="1"/>
    <col min="52" max="52" width="12.5546875" hidden="1" customWidth="1"/>
    <col min="53" max="54" width="11.109375" hidden="1" customWidth="1"/>
    <col min="55" max="55" width="9.77734375" hidden="1" customWidth="1"/>
    <col min="56" max="65" width="12.5546875" hidden="1" customWidth="1"/>
    <col min="66" max="66" width="10.21875" hidden="1" customWidth="1"/>
    <col min="67" max="68" width="12.5546875" hidden="1" customWidth="1"/>
    <col min="69" max="69" width="10.21875" hidden="1" customWidth="1"/>
    <col min="70" max="70" width="12.88671875" style="6" bestFit="1" customWidth="1"/>
    <col min="71" max="71" width="14.109375" bestFit="1" customWidth="1"/>
    <col min="72" max="72" width="15.21875" bestFit="1" customWidth="1"/>
    <col min="73" max="73" width="14.109375" bestFit="1" customWidth="1"/>
    <col min="74" max="74" width="14.5546875" bestFit="1" customWidth="1"/>
    <col min="75" max="75" width="14.109375" bestFit="1" customWidth="1"/>
    <col min="76" max="76" width="13.33203125" bestFit="1" customWidth="1"/>
    <col min="77" max="77" width="12.33203125" bestFit="1" customWidth="1"/>
    <col min="78" max="78" width="12.109375" bestFit="1" customWidth="1"/>
    <col min="79" max="79" width="15.21875" bestFit="1" customWidth="1"/>
    <col min="80" max="80" width="13.5546875" bestFit="1" customWidth="1"/>
    <col min="81" max="81" width="10.77734375" bestFit="1" customWidth="1"/>
    <col min="82" max="82" width="13.88671875" bestFit="1" customWidth="1"/>
    <col min="83" max="83" width="13.88671875" customWidth="1"/>
    <col min="84" max="84" width="11.109375" style="7" bestFit="1" customWidth="1"/>
  </cols>
  <sheetData>
    <row r="1" spans="1:8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3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5</v>
      </c>
      <c r="CC2">
        <f>IF(BS2='Resultats Reals'!$K$2,5,0)</f>
        <v>0</v>
      </c>
      <c r="CD2">
        <f>IFERROR(VLOOKUP(BT2,'Resultats Reals'!$N$2:$O$100,2,FALSE),0)</f>
        <v>10</v>
      </c>
      <c r="CE2">
        <f>IF(BR2='Resultats Reals'!$L$2,5,0)</f>
        <v>0</v>
      </c>
      <c r="CF2" s="7">
        <f t="shared" ref="CF2:CF49" si="0">SUM(BU2:CE2)</f>
        <v>75.5</v>
      </c>
    </row>
    <row r="3" spans="1:84" x14ac:dyDescent="0.3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238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238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R3" s="6" t="s">
        <v>264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5</v>
      </c>
      <c r="CF3" s="7">
        <f t="shared" si="0"/>
        <v>78</v>
      </c>
    </row>
    <row r="4" spans="1:84" x14ac:dyDescent="0.3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238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286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x14ac:dyDescent="0.3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238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267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3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5</v>
      </c>
      <c r="CC6">
        <f>IF(BS6='Resultats Reals'!$K$2,5,0)</f>
        <v>5</v>
      </c>
      <c r="CD6">
        <f>IFERROR(VLOOKUP(BT6,'Resultats Reals'!$N$2:$O$100,2,FALSE),0)</f>
        <v>10</v>
      </c>
      <c r="CE6">
        <f>IF(BR6='Resultats Reals'!$L$2,5,0)</f>
        <v>0</v>
      </c>
      <c r="CF6" s="7">
        <f t="shared" si="0"/>
        <v>94</v>
      </c>
    </row>
    <row r="7" spans="1:84" ht="15.75" customHeight="1" x14ac:dyDescent="0.3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238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5</v>
      </c>
      <c r="CC7">
        <f>IF(BS7='Resultats Reals'!$K$2,5,0)</f>
        <v>5</v>
      </c>
      <c r="CD7">
        <f>IFERROR(VLOOKUP(BT7,'Resultats Reals'!$N$2:$O$100,2,FALSE),0)</f>
        <v>10</v>
      </c>
      <c r="CE7">
        <f>IF(BR7='Resultats Reals'!$L$2,5,0)</f>
        <v>0</v>
      </c>
      <c r="CF7" s="7">
        <f t="shared" si="0"/>
        <v>94.5</v>
      </c>
    </row>
    <row r="8" spans="1:84" x14ac:dyDescent="0.3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238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298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5</v>
      </c>
      <c r="CC8">
        <f>IF(BS8='Resultats Reals'!$K$2,5,0)</f>
        <v>5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92.5</v>
      </c>
    </row>
    <row r="9" spans="1:84" x14ac:dyDescent="0.3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5</v>
      </c>
      <c r="CC9">
        <f>IF(BS9='Resultats Reals'!$K$2,5,0)</f>
        <v>5</v>
      </c>
      <c r="CD9">
        <f>IFERROR(VLOOKUP(BT9,'Resultats Reals'!$N$2:$O$100,2,FALSE),0)</f>
        <v>10</v>
      </c>
      <c r="CE9">
        <f>IF(BR9='Resultats Reals'!$L$2,5,0)</f>
        <v>0</v>
      </c>
      <c r="CF9" s="7">
        <f t="shared" si="0"/>
        <v>93.5</v>
      </c>
    </row>
    <row r="10" spans="1:84" x14ac:dyDescent="0.3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238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5</v>
      </c>
      <c r="CC10">
        <f>IF(BS10='Resultats Reals'!$K$2,5,0)</f>
        <v>5</v>
      </c>
      <c r="CD10">
        <f>IFERROR(VLOOKUP(BT10,'Resultats Reals'!$N$2:$O$100,2,FALSE),0)</f>
        <v>10</v>
      </c>
      <c r="CE10">
        <f>IF(BR10='Resultats Reals'!$L$2,5,0)</f>
        <v>0</v>
      </c>
      <c r="CF10" s="7">
        <f t="shared" si="0"/>
        <v>91</v>
      </c>
    </row>
    <row r="11" spans="1:84" x14ac:dyDescent="0.3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238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264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5</v>
      </c>
      <c r="CC11">
        <f>IF(BS11='Resultats Reals'!$K$2,5,0)</f>
        <v>5</v>
      </c>
      <c r="CD11">
        <f>IFERROR(VLOOKUP(BT11,'Resultats Reals'!$N$2:$O$100,2,FALSE),0)</f>
        <v>10</v>
      </c>
      <c r="CE11">
        <f>IF(BR11='Resultats Reals'!$L$2,5,0)</f>
        <v>5</v>
      </c>
      <c r="CF11" s="7">
        <f t="shared" si="0"/>
        <v>93.5</v>
      </c>
    </row>
    <row r="12" spans="1:84" x14ac:dyDescent="0.3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238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5</v>
      </c>
      <c r="CC12">
        <f>IF(BS12='Resultats Reals'!$K$2,5,0)</f>
        <v>0</v>
      </c>
      <c r="CD12">
        <f>IFERROR(VLOOKUP(BT12,'Resultats Reals'!$N$2:$O$100,2,FALSE),0)</f>
        <v>10</v>
      </c>
      <c r="CE12">
        <f>IF(BR12='Resultats Reals'!$L$2,5,0)</f>
        <v>0</v>
      </c>
      <c r="CF12" s="7">
        <f t="shared" si="0"/>
        <v>91.5</v>
      </c>
    </row>
    <row r="13" spans="1:84" x14ac:dyDescent="0.3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238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5</v>
      </c>
      <c r="CC13">
        <f>IF(BS13='Resultats Reals'!$K$2,5,0)</f>
        <v>5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86</v>
      </c>
    </row>
    <row r="14" spans="1:84" x14ac:dyDescent="0.3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264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5</v>
      </c>
      <c r="CC14">
        <f>IF(BS14='Resultats Reals'!$K$2,5,0)</f>
        <v>0</v>
      </c>
      <c r="CD14">
        <f>IFERROR(VLOOKUP(BT14,'Resultats Reals'!$N$2:$O$100,2,FALSE),0)</f>
        <v>10</v>
      </c>
      <c r="CE14">
        <f>IF(BR14='Resultats Reals'!$L$2,5,0)</f>
        <v>5</v>
      </c>
      <c r="CF14" s="7">
        <f t="shared" si="0"/>
        <v>96</v>
      </c>
    </row>
    <row r="15" spans="1:84" x14ac:dyDescent="0.3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5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72</v>
      </c>
    </row>
    <row r="16" spans="1:84" x14ac:dyDescent="0.3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238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264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5</v>
      </c>
      <c r="CC16">
        <f>IF(BS16='Resultats Reals'!$K$2,5,0)</f>
        <v>5</v>
      </c>
      <c r="CD16">
        <f>IFERROR(VLOOKUP(BT16,'Resultats Reals'!$N$2:$O$100,2,FALSE),0)</f>
        <v>10</v>
      </c>
      <c r="CE16">
        <f>IF(BR16='Resultats Reals'!$L$2,5,0)</f>
        <v>5</v>
      </c>
      <c r="CF16" s="7">
        <f t="shared" si="0"/>
        <v>102.5</v>
      </c>
    </row>
    <row r="17" spans="1:84" x14ac:dyDescent="0.3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238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5</v>
      </c>
      <c r="CC17">
        <f>IF(BS17='Resultats Reals'!$K$2,5,0)</f>
        <v>5</v>
      </c>
      <c r="CD17">
        <f>IFERROR(VLOOKUP(BT17,'Resultats Reals'!$N$2:$O$100,2,FALSE),0)</f>
        <v>10</v>
      </c>
      <c r="CE17">
        <f>IF(BR17='Resultats Reals'!$L$2,5,0)</f>
        <v>0</v>
      </c>
      <c r="CF17" s="7">
        <f t="shared" si="0"/>
        <v>90</v>
      </c>
    </row>
    <row r="18" spans="1:84" x14ac:dyDescent="0.3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267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5</v>
      </c>
      <c r="CC18">
        <f>IF(BS18='Resultats Reals'!$K$2,5,0)</f>
        <v>5</v>
      </c>
      <c r="CD18">
        <f>IFERROR(VLOOKUP(BT18,'Resultats Reals'!$N$2:$O$100,2,FALSE),0)</f>
        <v>10</v>
      </c>
      <c r="CE18">
        <f>IF(BR18='Resultats Reals'!$L$2,5,0)</f>
        <v>0</v>
      </c>
      <c r="CF18" s="7">
        <f t="shared" si="0"/>
        <v>85.5</v>
      </c>
    </row>
    <row r="19" spans="1:84" x14ac:dyDescent="0.3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238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238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299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5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75</v>
      </c>
    </row>
    <row r="20" spans="1:84" x14ac:dyDescent="0.3">
      <c r="A20" t="s">
        <v>206</v>
      </c>
      <c r="B20" t="s">
        <v>135</v>
      </c>
      <c r="C20" t="s">
        <v>130</v>
      </c>
      <c r="D20" t="s">
        <v>238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264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5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5</v>
      </c>
      <c r="CF20" s="7">
        <f t="shared" si="0"/>
        <v>70.5</v>
      </c>
    </row>
    <row r="21" spans="1:84" x14ac:dyDescent="0.3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238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R21" s="6" t="s">
        <v>209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3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238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10</v>
      </c>
      <c r="CE22">
        <f>IF(BR22='Resultats Reals'!$L$2,5,0)</f>
        <v>0</v>
      </c>
      <c r="CF22" s="7">
        <f t="shared" si="0"/>
        <v>72</v>
      </c>
    </row>
    <row r="23" spans="1:84" x14ac:dyDescent="0.3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238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264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5</v>
      </c>
      <c r="CC23">
        <f>IF(BS23='Resultats Reals'!$K$2,5,0)</f>
        <v>5</v>
      </c>
      <c r="CD23">
        <f>IFERROR(VLOOKUP(BT23,'Resultats Reals'!$N$2:$O$100,2,FALSE),0)</f>
        <v>10</v>
      </c>
      <c r="CE23">
        <f>IF(BR23='Resultats Reals'!$L$2,5,0)</f>
        <v>5</v>
      </c>
      <c r="CF23" s="7">
        <f t="shared" si="0"/>
        <v>93</v>
      </c>
    </row>
    <row r="24" spans="1:84" x14ac:dyDescent="0.3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238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238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5</v>
      </c>
      <c r="CC24">
        <f>IF(BS24='Resultats Reals'!$K$2,5,0)</f>
        <v>5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86.5</v>
      </c>
    </row>
    <row r="25" spans="1:84" x14ac:dyDescent="0.3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5</v>
      </c>
      <c r="CC25">
        <f>IF(BS25='Resultats Reals'!$K$2,5,0)</f>
        <v>5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82</v>
      </c>
    </row>
    <row r="26" spans="1:84" x14ac:dyDescent="0.3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267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5</v>
      </c>
      <c r="CD26">
        <f>IFERROR(VLOOKUP(BT26,'Resultats Reals'!$N$2:$O$100,2,FALSE),0)</f>
        <v>10</v>
      </c>
      <c r="CE26">
        <f>IF(BR26='Resultats Reals'!$L$2,5,0)</f>
        <v>0</v>
      </c>
      <c r="CF26" s="7">
        <f t="shared" si="0"/>
        <v>87</v>
      </c>
    </row>
    <row r="27" spans="1:84" x14ac:dyDescent="0.3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R27" s="6" t="s">
        <v>164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5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71</v>
      </c>
    </row>
    <row r="28" spans="1:84" x14ac:dyDescent="0.3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271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5</v>
      </c>
      <c r="CC28">
        <f>IF(BS28='Resultats Reals'!$K$2,5,0)</f>
        <v>5</v>
      </c>
      <c r="CD28">
        <f>IFERROR(VLOOKUP(BT28,'Resultats Reals'!$N$2:$O$100,2,FALSE),0)</f>
        <v>10</v>
      </c>
      <c r="CE28">
        <f>IF(BR28='Resultats Reals'!$L$2,5,0)</f>
        <v>0</v>
      </c>
      <c r="CF28" s="7">
        <f t="shared" si="0"/>
        <v>91</v>
      </c>
    </row>
    <row r="29" spans="1:84" x14ac:dyDescent="0.3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238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R29" s="6" t="s">
        <v>209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5</v>
      </c>
      <c r="CC29">
        <f>IF(BS29='Resultats Reals'!$K$2,5,0)</f>
        <v>5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90</v>
      </c>
    </row>
    <row r="30" spans="1:84" x14ac:dyDescent="0.3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238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3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238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x14ac:dyDescent="0.3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286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10</v>
      </c>
      <c r="CE32">
        <f>IF(BR32='Resultats Reals'!$L$2,5,0)</f>
        <v>0</v>
      </c>
      <c r="CF32" s="7">
        <f t="shared" si="0"/>
        <v>84.5</v>
      </c>
    </row>
    <row r="33" spans="1:84" x14ac:dyDescent="0.3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238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5</v>
      </c>
      <c r="CC33">
        <f>IF(BS33='Resultats Reals'!$K$2,5,0)</f>
        <v>5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91</v>
      </c>
    </row>
    <row r="34" spans="1:84" x14ac:dyDescent="0.3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267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3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238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264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5</v>
      </c>
      <c r="CC35">
        <f>IF(BS35='Resultats Reals'!$K$2,5,0)</f>
        <v>5</v>
      </c>
      <c r="CD35">
        <f>IFERROR(VLOOKUP(BT35,'Resultats Reals'!$N$2:$O$100,2,FALSE),0)</f>
        <v>10</v>
      </c>
      <c r="CE35">
        <f>IF(BR35='Resultats Reals'!$L$2,5,0)</f>
        <v>5</v>
      </c>
      <c r="CF35" s="7">
        <f t="shared" si="0"/>
        <v>93.5</v>
      </c>
    </row>
    <row r="36" spans="1:84" x14ac:dyDescent="0.3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10</v>
      </c>
      <c r="CE36">
        <f>IF(BR36='Resultats Reals'!$L$2,5,0)</f>
        <v>0</v>
      </c>
      <c r="CF36" s="7">
        <f t="shared" si="0"/>
        <v>76.5</v>
      </c>
    </row>
    <row r="37" spans="1:84" x14ac:dyDescent="0.3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238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264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10</v>
      </c>
      <c r="CE37">
        <f>IF(BR37='Resultats Reals'!$L$2,5,0)</f>
        <v>5</v>
      </c>
      <c r="CF37" s="7">
        <f t="shared" si="0"/>
        <v>89.5</v>
      </c>
    </row>
    <row r="38" spans="1:84" x14ac:dyDescent="0.3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238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5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75</v>
      </c>
    </row>
    <row r="39" spans="1:84" x14ac:dyDescent="0.3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238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5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76.5</v>
      </c>
    </row>
    <row r="40" spans="1:84" x14ac:dyDescent="0.3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238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5</v>
      </c>
      <c r="CC40">
        <f>IF(BS40='Resultats Reals'!$K$2,5,0)</f>
        <v>5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86.5</v>
      </c>
    </row>
    <row r="41" spans="1:84" x14ac:dyDescent="0.3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5</v>
      </c>
      <c r="CC41">
        <f>IF(BS41='Resultats Reals'!$K$2,5,0)</f>
        <v>5</v>
      </c>
      <c r="CD41">
        <f>IFERROR(VLOOKUP(BT41,'Resultats Reals'!$N$2:$O$100,2,FALSE),0)</f>
        <v>10</v>
      </c>
      <c r="CE41">
        <f>IF(BR41='Resultats Reals'!$L$2,5,0)</f>
        <v>0</v>
      </c>
      <c r="CF41" s="7">
        <f t="shared" si="0"/>
        <v>90.5</v>
      </c>
    </row>
    <row r="42" spans="1:84" x14ac:dyDescent="0.3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238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267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5</v>
      </c>
      <c r="CD42">
        <f>IFERROR(VLOOKUP(BT42,'Resultats Reals'!$N$2:$O$100,2,FALSE),0)</f>
        <v>10</v>
      </c>
      <c r="CE42">
        <f>IF(BR42='Resultats Reals'!$L$2,5,0)</f>
        <v>0</v>
      </c>
      <c r="CF42" s="7">
        <f t="shared" si="0"/>
        <v>89</v>
      </c>
    </row>
    <row r="43" spans="1:84" x14ac:dyDescent="0.3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238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264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5</v>
      </c>
      <c r="CC43">
        <f>IF(BS43='Resultats Reals'!$K$2,5,0)</f>
        <v>5</v>
      </c>
      <c r="CD43">
        <f>IFERROR(VLOOKUP(BT43,'Resultats Reals'!$N$2:$O$100,2,FALSE),0)</f>
        <v>10</v>
      </c>
      <c r="CE43">
        <f>IF(BR43='Resultats Reals'!$L$2,5,0)</f>
        <v>5</v>
      </c>
      <c r="CF43" s="7">
        <f t="shared" si="0"/>
        <v>95</v>
      </c>
    </row>
    <row r="44" spans="1:84" x14ac:dyDescent="0.3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238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R44" s="6" t="s">
        <v>267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x14ac:dyDescent="0.3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238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269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5</v>
      </c>
      <c r="CD45">
        <f>IFERROR(VLOOKUP(BT45,'Resultats Reals'!$N$2:$O$100,2,FALSE),0)</f>
        <v>10</v>
      </c>
      <c r="CE45">
        <f>IF(BR45='Resultats Reals'!$L$2,5,0)</f>
        <v>0</v>
      </c>
      <c r="CF45" s="7">
        <f t="shared" si="0"/>
        <v>79</v>
      </c>
    </row>
    <row r="46" spans="1:84" x14ac:dyDescent="0.3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238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264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5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5</v>
      </c>
      <c r="CF46" s="7">
        <f t="shared" si="0"/>
        <v>90</v>
      </c>
    </row>
    <row r="47" spans="1:84" x14ac:dyDescent="0.3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238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R47" s="6" t="s">
        <v>264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5</v>
      </c>
      <c r="CC47">
        <f>IF(BS47='Resultats Reals'!$K$2,5,0)</f>
        <v>5</v>
      </c>
      <c r="CD47">
        <f>IFERROR(VLOOKUP(BT47,'Resultats Reals'!$N$2:$O$100,2,FALSE),0)</f>
        <v>10</v>
      </c>
      <c r="CE47">
        <f>IF(BR47='Resultats Reals'!$L$2,5,0)</f>
        <v>5</v>
      </c>
      <c r="CF47" s="7">
        <f t="shared" si="0"/>
        <v>93</v>
      </c>
    </row>
    <row r="48" spans="1:84" x14ac:dyDescent="0.3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238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x14ac:dyDescent="0.3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268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5</v>
      </c>
      <c r="CC49">
        <f>IF(BS49='Resultats Reals'!$K$2,5,0)</f>
        <v>5</v>
      </c>
      <c r="CD49">
        <f>IFERROR(VLOOKUP(BT49,'Resultats Reals'!$N$2:$O$100,2,FALSE),0)</f>
        <v>10</v>
      </c>
      <c r="CE49">
        <f>IF(BR49='Resultats Reals'!$L$2,5,0)</f>
        <v>0</v>
      </c>
      <c r="CF49" s="7">
        <f t="shared" si="0"/>
        <v>93</v>
      </c>
    </row>
  </sheetData>
  <autoFilter ref="A1:CF49" xr:uid="{00000000-0001-0000-0100-000000000000}"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baseColWidth="10" defaultColWidth="10.77734375" defaultRowHeight="14.4" x14ac:dyDescent="0.3"/>
  <cols>
    <col min="1" max="1" width="23.44140625" bestFit="1" customWidth="1"/>
    <col min="2" max="2" width="8.44140625" bestFit="1" customWidth="1"/>
  </cols>
  <sheetData>
    <row r="1" spans="1:2" x14ac:dyDescent="0.3">
      <c r="A1" s="11" t="s">
        <v>235</v>
      </c>
      <c r="B1" t="s">
        <v>236</v>
      </c>
    </row>
    <row r="2" spans="1:2" x14ac:dyDescent="0.3">
      <c r="A2" s="12" t="s">
        <v>204</v>
      </c>
      <c r="B2">
        <v>64.5</v>
      </c>
    </row>
    <row r="3" spans="1:2" x14ac:dyDescent="0.3">
      <c r="A3" s="12" t="s">
        <v>123</v>
      </c>
      <c r="B3">
        <v>64</v>
      </c>
    </row>
    <row r="4" spans="1:2" x14ac:dyDescent="0.3">
      <c r="A4" s="12" t="s">
        <v>203</v>
      </c>
      <c r="B4">
        <v>63.5</v>
      </c>
    </row>
    <row r="5" spans="1:2" x14ac:dyDescent="0.3">
      <c r="A5" s="12" t="s">
        <v>137</v>
      </c>
      <c r="B5">
        <v>63.5</v>
      </c>
    </row>
    <row r="6" spans="1:2" x14ac:dyDescent="0.3">
      <c r="A6" s="12" t="s">
        <v>185</v>
      </c>
      <c r="B6">
        <v>63.5</v>
      </c>
    </row>
    <row r="7" spans="1:2" x14ac:dyDescent="0.3">
      <c r="A7" s="12" t="s">
        <v>149</v>
      </c>
      <c r="B7">
        <v>63.5</v>
      </c>
    </row>
    <row r="8" spans="1:2" x14ac:dyDescent="0.3">
      <c r="A8" s="12" t="s">
        <v>182</v>
      </c>
      <c r="B8">
        <v>63</v>
      </c>
    </row>
    <row r="9" spans="1:2" x14ac:dyDescent="0.3">
      <c r="A9" s="12" t="s">
        <v>173</v>
      </c>
      <c r="B9">
        <v>62.5</v>
      </c>
    </row>
    <row r="10" spans="1:2" x14ac:dyDescent="0.3">
      <c r="A10" s="12" t="s">
        <v>199</v>
      </c>
      <c r="B10">
        <v>62.5</v>
      </c>
    </row>
    <row r="11" spans="1:2" x14ac:dyDescent="0.3">
      <c r="A11" s="12" t="s">
        <v>168</v>
      </c>
      <c r="B11">
        <v>62.5</v>
      </c>
    </row>
    <row r="12" spans="1:2" x14ac:dyDescent="0.3">
      <c r="A12" s="12" t="s">
        <v>175</v>
      </c>
      <c r="B12">
        <v>62</v>
      </c>
    </row>
    <row r="13" spans="1:2" x14ac:dyDescent="0.3">
      <c r="A13" s="12" t="s">
        <v>202</v>
      </c>
      <c r="B13">
        <v>62</v>
      </c>
    </row>
    <row r="14" spans="1:2" x14ac:dyDescent="0.3">
      <c r="A14" s="12" t="s">
        <v>134</v>
      </c>
      <c r="B14">
        <v>62</v>
      </c>
    </row>
    <row r="15" spans="1:2" x14ac:dyDescent="0.3">
      <c r="A15" s="12" t="s">
        <v>207</v>
      </c>
      <c r="B15">
        <v>61.5</v>
      </c>
    </row>
    <row r="16" spans="1:2" x14ac:dyDescent="0.3">
      <c r="A16" s="12" t="s">
        <v>179</v>
      </c>
      <c r="B16">
        <v>61</v>
      </c>
    </row>
    <row r="17" spans="1:2" x14ac:dyDescent="0.3">
      <c r="A17" s="12" t="s">
        <v>165</v>
      </c>
      <c r="B17">
        <v>61</v>
      </c>
    </row>
    <row r="18" spans="1:2" x14ac:dyDescent="0.3">
      <c r="A18" s="12" t="s">
        <v>187</v>
      </c>
      <c r="B18">
        <v>61</v>
      </c>
    </row>
    <row r="19" spans="1:2" x14ac:dyDescent="0.3">
      <c r="A19" s="12" t="s">
        <v>200</v>
      </c>
      <c r="B19">
        <v>61</v>
      </c>
    </row>
    <row r="20" spans="1:2" x14ac:dyDescent="0.3">
      <c r="A20" s="12" t="s">
        <v>158</v>
      </c>
      <c r="B20">
        <v>60</v>
      </c>
    </row>
    <row r="21" spans="1:2" x14ac:dyDescent="0.3">
      <c r="A21" s="12" t="s">
        <v>191</v>
      </c>
      <c r="B21">
        <v>60</v>
      </c>
    </row>
    <row r="22" spans="1:2" x14ac:dyDescent="0.3">
      <c r="A22" s="12" t="s">
        <v>186</v>
      </c>
      <c r="B22">
        <v>60</v>
      </c>
    </row>
    <row r="23" spans="1:2" x14ac:dyDescent="0.3">
      <c r="A23" s="12" t="s">
        <v>146</v>
      </c>
      <c r="B23">
        <v>59</v>
      </c>
    </row>
    <row r="24" spans="1:2" x14ac:dyDescent="0.3">
      <c r="A24" s="12" t="s">
        <v>183</v>
      </c>
      <c r="B24">
        <v>58.5</v>
      </c>
    </row>
    <row r="25" spans="1:2" x14ac:dyDescent="0.3">
      <c r="A25" s="12" t="s">
        <v>136</v>
      </c>
      <c r="B25">
        <v>58</v>
      </c>
    </row>
    <row r="26" spans="1:2" x14ac:dyDescent="0.3">
      <c r="A26" s="12" t="s">
        <v>176</v>
      </c>
      <c r="B26">
        <v>57.5</v>
      </c>
    </row>
    <row r="27" spans="1:2" x14ac:dyDescent="0.3">
      <c r="A27" s="12" t="s">
        <v>184</v>
      </c>
      <c r="B27">
        <v>57.5</v>
      </c>
    </row>
    <row r="28" spans="1:2" x14ac:dyDescent="0.3">
      <c r="A28" s="12" t="s">
        <v>151</v>
      </c>
      <c r="B28">
        <v>57.5</v>
      </c>
    </row>
    <row r="29" spans="1:2" x14ac:dyDescent="0.3">
      <c r="A29" s="12" t="s">
        <v>177</v>
      </c>
      <c r="B29">
        <v>57.5</v>
      </c>
    </row>
    <row r="30" spans="1:2" x14ac:dyDescent="0.3">
      <c r="A30" s="12" t="s">
        <v>167</v>
      </c>
      <c r="B30">
        <v>57.5</v>
      </c>
    </row>
    <row r="31" spans="1:2" x14ac:dyDescent="0.3">
      <c r="A31" s="12" t="s">
        <v>197</v>
      </c>
      <c r="B31">
        <v>57</v>
      </c>
    </row>
    <row r="32" spans="1:2" x14ac:dyDescent="0.3">
      <c r="A32" s="12" t="s">
        <v>169</v>
      </c>
      <c r="B32">
        <v>57</v>
      </c>
    </row>
    <row r="33" spans="1:2" x14ac:dyDescent="0.3">
      <c r="A33" s="12" t="s">
        <v>196</v>
      </c>
      <c r="B33">
        <v>56</v>
      </c>
    </row>
    <row r="34" spans="1:2" x14ac:dyDescent="0.3">
      <c r="A34" s="12" t="s">
        <v>84</v>
      </c>
      <c r="B34">
        <v>56</v>
      </c>
    </row>
    <row r="35" spans="1:2" x14ac:dyDescent="0.3">
      <c r="A35" s="12" t="s">
        <v>171</v>
      </c>
      <c r="B35">
        <v>56</v>
      </c>
    </row>
    <row r="36" spans="1:2" x14ac:dyDescent="0.3">
      <c r="A36" s="12" t="s">
        <v>152</v>
      </c>
      <c r="B36">
        <v>56</v>
      </c>
    </row>
    <row r="37" spans="1:2" x14ac:dyDescent="0.3">
      <c r="A37" s="12" t="s">
        <v>155</v>
      </c>
      <c r="B37">
        <v>55</v>
      </c>
    </row>
    <row r="38" spans="1:2" x14ac:dyDescent="0.3">
      <c r="A38" s="12" t="s">
        <v>156</v>
      </c>
      <c r="B38">
        <v>54.5</v>
      </c>
    </row>
    <row r="39" spans="1:2" x14ac:dyDescent="0.3">
      <c r="A39" s="12" t="s">
        <v>162</v>
      </c>
      <c r="B39">
        <v>54</v>
      </c>
    </row>
    <row r="40" spans="1:2" x14ac:dyDescent="0.3">
      <c r="A40" s="12" t="s">
        <v>129</v>
      </c>
      <c r="B40">
        <v>54</v>
      </c>
    </row>
    <row r="41" spans="1:2" x14ac:dyDescent="0.3">
      <c r="A41" s="12" t="s">
        <v>188</v>
      </c>
      <c r="B41">
        <v>53.5</v>
      </c>
    </row>
    <row r="42" spans="1:2" x14ac:dyDescent="0.3">
      <c r="A42" s="12" t="s">
        <v>208</v>
      </c>
      <c r="B42">
        <v>53</v>
      </c>
    </row>
    <row r="43" spans="1:2" x14ac:dyDescent="0.3">
      <c r="A43" s="12" t="s">
        <v>180</v>
      </c>
      <c r="B43">
        <v>52.5</v>
      </c>
    </row>
    <row r="44" spans="1:2" x14ac:dyDescent="0.3">
      <c r="A44" s="12" t="s">
        <v>153</v>
      </c>
      <c r="B44">
        <v>52.5</v>
      </c>
    </row>
    <row r="45" spans="1:2" x14ac:dyDescent="0.3">
      <c r="A45" s="12" t="s">
        <v>174</v>
      </c>
      <c r="B45">
        <v>51</v>
      </c>
    </row>
    <row r="46" spans="1:2" x14ac:dyDescent="0.3">
      <c r="A46" s="12" t="s">
        <v>159</v>
      </c>
      <c r="B46">
        <v>51</v>
      </c>
    </row>
    <row r="47" spans="1:2" x14ac:dyDescent="0.3">
      <c r="A47" s="12" t="s">
        <v>206</v>
      </c>
      <c r="B47">
        <v>49.5</v>
      </c>
    </row>
    <row r="48" spans="1:2" x14ac:dyDescent="0.3">
      <c r="A48" s="12" t="s">
        <v>193</v>
      </c>
      <c r="B48">
        <v>49</v>
      </c>
    </row>
    <row r="49" spans="1:2" x14ac:dyDescent="0.3">
      <c r="A49" s="12" t="s">
        <v>139</v>
      </c>
      <c r="B49">
        <v>42</v>
      </c>
    </row>
    <row r="50" spans="1:2" x14ac:dyDescent="0.3">
      <c r="A50" s="12" t="s">
        <v>237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baseColWidth="10" defaultColWidth="10.77734375" defaultRowHeight="14.4" x14ac:dyDescent="0.3"/>
  <cols>
    <col min="1" max="1" width="19.33203125" bestFit="1" customWidth="1"/>
    <col min="2" max="3" width="18.77734375" bestFit="1" customWidth="1"/>
  </cols>
  <sheetData>
    <row r="1" spans="1:3" x14ac:dyDescent="0.3">
      <c r="A1" t="s">
        <v>90</v>
      </c>
      <c r="B1" s="15" t="s">
        <v>239</v>
      </c>
      <c r="C1" s="15" t="s">
        <v>240</v>
      </c>
    </row>
    <row r="2" spans="1:3" x14ac:dyDescent="0.3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3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3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3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3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3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3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3">
      <c r="A9" t="s">
        <v>238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3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3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3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3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3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3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3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3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3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3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3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3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3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3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3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3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3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3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3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3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3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3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3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3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3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3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3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3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3">
      <c r="A38" t="s">
        <v>127</v>
      </c>
      <c r="B38" s="2"/>
    </row>
    <row r="39" spans="1:3" x14ac:dyDescent="0.3">
      <c r="A39" t="s">
        <v>110</v>
      </c>
    </row>
    <row r="40" spans="1:3" x14ac:dyDescent="0.3">
      <c r="A40" t="s">
        <v>106</v>
      </c>
    </row>
    <row r="41" spans="1:3" x14ac:dyDescent="0.3">
      <c r="A41" t="s">
        <v>130</v>
      </c>
    </row>
    <row r="42" spans="1:3" x14ac:dyDescent="0.3">
      <c r="A42" t="s">
        <v>103</v>
      </c>
    </row>
    <row r="43" spans="1:3" x14ac:dyDescent="0.3">
      <c r="A43" t="s">
        <v>87</v>
      </c>
    </row>
    <row r="44" spans="1:3" x14ac:dyDescent="0.3">
      <c r="A44" t="s">
        <v>131</v>
      </c>
    </row>
    <row r="45" spans="1:3" x14ac:dyDescent="0.3">
      <c r="A45" t="s">
        <v>101</v>
      </c>
    </row>
    <row r="46" spans="1:3" x14ac:dyDescent="0.3">
      <c r="A46" t="s">
        <v>105</v>
      </c>
    </row>
    <row r="47" spans="1:3" x14ac:dyDescent="0.3">
      <c r="A47" t="s">
        <v>119</v>
      </c>
    </row>
    <row r="51" spans="1:1" x14ac:dyDescent="0.3">
      <c r="A51" t="str">
        <f>+'Resultats Reals'!C4</f>
        <v>Corea del Sud</v>
      </c>
    </row>
    <row r="52" spans="1:1" x14ac:dyDescent="0.3">
      <c r="A52" t="str">
        <f>+'Resultats Reals'!C7</f>
        <v>Bòsnia i Hercegovina</v>
      </c>
    </row>
    <row r="53" spans="1:1" x14ac:dyDescent="0.3">
      <c r="A53" t="str">
        <f>+'Resultats Reals'!C10</f>
        <v>Escòcia</v>
      </c>
    </row>
    <row r="54" spans="1:1" x14ac:dyDescent="0.3">
      <c r="A54" t="str">
        <f>+'Resultats Reals'!C13</f>
        <v>Paraguai</v>
      </c>
    </row>
    <row r="55" spans="1:1" x14ac:dyDescent="0.3">
      <c r="A55" t="str">
        <f>+'Resultats Reals'!C16</f>
        <v>Equador</v>
      </c>
    </row>
    <row r="56" spans="1:1" x14ac:dyDescent="0.3">
      <c r="A56" t="str">
        <f>+'Resultats Reals'!C19</f>
        <v>Suècia</v>
      </c>
    </row>
    <row r="57" spans="1:1" x14ac:dyDescent="0.3">
      <c r="A57" t="str">
        <f>+'Resultats Reals'!C22</f>
        <v>Iran</v>
      </c>
    </row>
    <row r="58" spans="1:1" x14ac:dyDescent="0.3">
      <c r="A58" t="str">
        <f>+'Resultats Reals'!C25</f>
        <v>Uruguai</v>
      </c>
    </row>
    <row r="59" spans="1:1" x14ac:dyDescent="0.3">
      <c r="A59" t="str">
        <f>+'Resultats Reals'!C28</f>
        <v>Senegal</v>
      </c>
    </row>
    <row r="60" spans="1:1" x14ac:dyDescent="0.3">
      <c r="A60" t="str">
        <f>+'Resultats Reals'!C31</f>
        <v>Algèria</v>
      </c>
    </row>
    <row r="61" spans="1:1" x14ac:dyDescent="0.3">
      <c r="A61" t="str">
        <f>+'Resultats Reals'!C34</f>
        <v>RD Congo</v>
      </c>
    </row>
    <row r="62" spans="1:1" x14ac:dyDescent="0.3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2026-07-19T09:24:23Z</dcterms:modified>
</cp:coreProperties>
</file>