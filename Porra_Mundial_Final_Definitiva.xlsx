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253" documentId="11_77D7F8CFEFB5B4E2EEC1568F97B647076E5C66F0" xr6:coauthVersionLast="47" xr6:coauthVersionMax="47" xr10:uidLastSave="{33CCDFAC-495C-4070-89CE-2F6978D2A099}"/>
  <bookViews>
    <workbookView xWindow="-120" yWindow="-120" windowWidth="29040" windowHeight="15720" xr2:uid="{00000000-000D-0000-FFFF-FFFF00000000}"/>
  </bookViews>
  <sheets>
    <sheet name="Resultats Reals" sheetId="1" r:id="rId1"/>
    <sheet name="Porra" sheetId="2" r:id="rId2"/>
    <sheet name="Gràfics" sheetId="3" r:id="rId3"/>
    <sheet name="Països_ok" sheetId="5" r:id="rId4"/>
  </sheets>
  <definedNames>
    <definedName name="_xlnm._FilterDatabase" localSheetId="2" hidden="1">Gràfics!$A$1:$B$49</definedName>
    <definedName name="_xlnm._FilterDatabase" localSheetId="0" hidden="1">'Resultats Reals'!$R$1:$S$14</definedName>
  </definedNames>
  <calcPr calcId="191028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 a="1"/>
  <c r="L3" i="1" s="1"/>
  <c r="J3" i="1" a="1"/>
  <c r="J3" i="1" s="1"/>
  <c r="J4" i="1" a="1"/>
  <c r="J4" i="1" s="1"/>
  <c r="J5" i="1" a="1"/>
  <c r="J5" i="1" s="1"/>
  <c r="L2" i="1"/>
  <c r="L2" i="1" a="1"/>
  <c r="J2" i="1" a="1"/>
  <c r="J2" i="1" s="1"/>
  <c r="H3" i="1" a="1"/>
  <c r="H3" i="1" s="1"/>
  <c r="H4" i="1" a="1"/>
  <c r="H4" i="1"/>
  <c r="H5" i="1" a="1"/>
  <c r="H5" i="1" s="1"/>
  <c r="H6" i="1" a="1"/>
  <c r="H6" i="1" s="1"/>
  <c r="H7" i="1" a="1"/>
  <c r="H7" i="1" s="1"/>
  <c r="H8" i="1" a="1"/>
  <c r="H8" i="1" s="1"/>
  <c r="H9" i="1" a="1"/>
  <c r="H9" i="1" s="1"/>
  <c r="H2" i="1" a="1"/>
  <c r="H2" i="1" s="1"/>
  <c r="F4" i="1" a="1"/>
  <c r="F4" i="1"/>
  <c r="F5" i="1" a="1"/>
  <c r="F5" i="1"/>
  <c r="F6" i="1" a="1"/>
  <c r="F6" i="1"/>
  <c r="F7" i="1" a="1"/>
  <c r="F7" i="1"/>
  <c r="F8" i="1" a="1"/>
  <c r="F8" i="1" s="1"/>
  <c r="F9" i="1" a="1"/>
  <c r="F9" i="1"/>
  <c r="F10" i="1" a="1"/>
  <c r="F10" i="1"/>
  <c r="F11" i="1" a="1"/>
  <c r="F11" i="1"/>
  <c r="F12" i="1" a="1"/>
  <c r="F12" i="1"/>
  <c r="F13" i="1" a="1"/>
  <c r="F13" i="1"/>
  <c r="F14" i="1" a="1"/>
  <c r="F14" i="1"/>
  <c r="F15" i="1" a="1"/>
  <c r="F15" i="1" s="1"/>
  <c r="F16" i="1" a="1"/>
  <c r="F16" i="1"/>
  <c r="F17" i="1" a="1"/>
  <c r="F17" i="1"/>
  <c r="F18" i="1" a="1"/>
  <c r="F18" i="1"/>
  <c r="F19" i="1" a="1"/>
  <c r="F19" i="1"/>
  <c r="F20" i="1" a="1"/>
  <c r="F20" i="1"/>
  <c r="F21" i="1" a="1"/>
  <c r="F21" i="1"/>
  <c r="F22" i="1" a="1"/>
  <c r="F22" i="1" s="1"/>
  <c r="F23" i="1" a="1"/>
  <c r="F23" i="1"/>
  <c r="F24" i="1" a="1"/>
  <c r="F24" i="1" s="1"/>
  <c r="F25" i="1" a="1"/>
  <c r="F25" i="1" s="1"/>
  <c r="F26" i="1" a="1"/>
  <c r="F26" i="1"/>
  <c r="F27" i="1" a="1"/>
  <c r="F27" i="1" s="1"/>
  <c r="F28" i="1" a="1"/>
  <c r="F28" i="1" s="1"/>
  <c r="F29" i="1" a="1"/>
  <c r="F29" i="1" s="1"/>
  <c r="F30" i="1" a="1"/>
  <c r="F30" i="1"/>
  <c r="F31" i="1" a="1"/>
  <c r="F31" i="1"/>
  <c r="F32" i="1" a="1"/>
  <c r="F32" i="1" s="1"/>
  <c r="F33" i="1" a="1"/>
  <c r="F33" i="1" s="1"/>
  <c r="F2" i="1" a="1"/>
  <c r="F2" i="1" s="1"/>
  <c r="F3" i="1" a="1"/>
  <c r="F3" i="1" s="1"/>
  <c r="D3" i="1" a="1"/>
  <c r="D3" i="1" s="1"/>
  <c r="D4" i="1" a="1"/>
  <c r="D4" i="1" s="1"/>
  <c r="D5" i="1" a="1"/>
  <c r="D5" i="1" s="1"/>
  <c r="D6" i="1" a="1"/>
  <c r="D6" i="1" s="1"/>
  <c r="D7" i="1" a="1"/>
  <c r="D7" i="1" s="1"/>
  <c r="D8" i="1" a="1"/>
  <c r="D8" i="1" s="1"/>
  <c r="D9" i="1" a="1"/>
  <c r="D9" i="1" s="1"/>
  <c r="D10" i="1" a="1"/>
  <c r="D10" i="1" s="1"/>
  <c r="D11" i="1" a="1"/>
  <c r="D11" i="1" s="1"/>
  <c r="D12" i="1" a="1"/>
  <c r="D12" i="1" s="1"/>
  <c r="D13" i="1" a="1"/>
  <c r="D13" i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2" i="1" a="1"/>
  <c r="D2" i="1" s="1"/>
  <c r="BU8" i="2"/>
  <c r="BV8" i="2"/>
  <c r="BW8" i="2"/>
  <c r="BX8" i="2"/>
  <c r="BY8" i="2"/>
  <c r="BZ8" i="2"/>
  <c r="CA8" i="2"/>
  <c r="CB8" i="2"/>
  <c r="CC8" i="2"/>
  <c r="CD8" i="2"/>
  <c r="CE8" i="2"/>
  <c r="BW46" i="2"/>
  <c r="CE49" i="2"/>
  <c r="CD49" i="2"/>
  <c r="CC49" i="2"/>
  <c r="CB49" i="2"/>
  <c r="CA49" i="2"/>
  <c r="BZ49" i="2"/>
  <c r="BY49" i="2"/>
  <c r="BX49" i="2"/>
  <c r="CE48" i="2"/>
  <c r="CD48" i="2"/>
  <c r="CC48" i="2"/>
  <c r="CB48" i="2"/>
  <c r="CA48" i="2"/>
  <c r="BZ48" i="2"/>
  <c r="BY48" i="2"/>
  <c r="BX48" i="2"/>
  <c r="CE47" i="2"/>
  <c r="CD47" i="2"/>
  <c r="CC47" i="2"/>
  <c r="CB47" i="2"/>
  <c r="CA47" i="2"/>
  <c r="BZ47" i="2"/>
  <c r="BY47" i="2"/>
  <c r="BX47" i="2"/>
  <c r="CE46" i="2"/>
  <c r="CD46" i="2"/>
  <c r="CC46" i="2"/>
  <c r="CB46" i="2"/>
  <c r="CA46" i="2"/>
  <c r="BZ46" i="2"/>
  <c r="BY46" i="2"/>
  <c r="BX46" i="2"/>
  <c r="CE45" i="2"/>
  <c r="CD45" i="2"/>
  <c r="CC45" i="2"/>
  <c r="CB45" i="2"/>
  <c r="CA45" i="2"/>
  <c r="BZ45" i="2"/>
  <c r="BY45" i="2"/>
  <c r="BX45" i="2"/>
  <c r="CE44" i="2"/>
  <c r="CD44" i="2"/>
  <c r="CC44" i="2"/>
  <c r="CB44" i="2"/>
  <c r="CA44" i="2"/>
  <c r="BZ44" i="2"/>
  <c r="BY44" i="2"/>
  <c r="BX44" i="2"/>
  <c r="CE43" i="2"/>
  <c r="CD43" i="2"/>
  <c r="CC43" i="2"/>
  <c r="CB43" i="2"/>
  <c r="CA43" i="2"/>
  <c r="BZ43" i="2"/>
  <c r="BY43" i="2"/>
  <c r="BX43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40" i="2"/>
  <c r="CD40" i="2"/>
  <c r="CC40" i="2"/>
  <c r="CB40" i="2"/>
  <c r="CA40" i="2"/>
  <c r="BZ40" i="2"/>
  <c r="BY40" i="2"/>
  <c r="BX40" i="2"/>
  <c r="CE39" i="2"/>
  <c r="CD39" i="2"/>
  <c r="CC39" i="2"/>
  <c r="CB39" i="2"/>
  <c r="CA39" i="2"/>
  <c r="BZ39" i="2"/>
  <c r="BY39" i="2"/>
  <c r="BX39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34" i="2"/>
  <c r="CD34" i="2"/>
  <c r="CC34" i="2"/>
  <c r="CB34" i="2"/>
  <c r="CA34" i="2"/>
  <c r="BZ34" i="2"/>
  <c r="BY34" i="2"/>
  <c r="BX34" i="2"/>
  <c r="CE33" i="2"/>
  <c r="CD33" i="2"/>
  <c r="CC33" i="2"/>
  <c r="CB33" i="2"/>
  <c r="CA33" i="2"/>
  <c r="BZ33" i="2"/>
  <c r="BY33" i="2"/>
  <c r="BX33" i="2"/>
  <c r="CE32" i="2"/>
  <c r="CD32" i="2"/>
  <c r="CC32" i="2"/>
  <c r="CB32" i="2"/>
  <c r="CA32" i="2"/>
  <c r="BZ32" i="2"/>
  <c r="BY32" i="2"/>
  <c r="BX32" i="2"/>
  <c r="CE31" i="2"/>
  <c r="CD31" i="2"/>
  <c r="CC31" i="2"/>
  <c r="CB31" i="2"/>
  <c r="CA31" i="2"/>
  <c r="BZ31" i="2"/>
  <c r="BY31" i="2"/>
  <c r="BX31" i="2"/>
  <c r="BU31" i="2"/>
  <c r="CE30" i="2"/>
  <c r="CD30" i="2"/>
  <c r="CC30" i="2"/>
  <c r="CB30" i="2"/>
  <c r="CA30" i="2"/>
  <c r="BZ30" i="2"/>
  <c r="BY30" i="2"/>
  <c r="BX30" i="2"/>
  <c r="CE29" i="2"/>
  <c r="CD29" i="2"/>
  <c r="CC29" i="2"/>
  <c r="CB29" i="2"/>
  <c r="CA29" i="2"/>
  <c r="BZ29" i="2"/>
  <c r="BY29" i="2"/>
  <c r="BX29" i="2"/>
  <c r="CE28" i="2"/>
  <c r="CD28" i="2"/>
  <c r="CC28" i="2"/>
  <c r="CB28" i="2"/>
  <c r="CA28" i="2"/>
  <c r="BZ28" i="2"/>
  <c r="BY28" i="2"/>
  <c r="BX28" i="2"/>
  <c r="BU28" i="2"/>
  <c r="CE27" i="2"/>
  <c r="CD27" i="2"/>
  <c r="CC27" i="2"/>
  <c r="CB27" i="2"/>
  <c r="CA27" i="2"/>
  <c r="BZ27" i="2"/>
  <c r="BY27" i="2"/>
  <c r="BX27" i="2"/>
  <c r="CE26" i="2"/>
  <c r="CD26" i="2"/>
  <c r="CC26" i="2"/>
  <c r="CB26" i="2"/>
  <c r="CA26" i="2"/>
  <c r="BZ26" i="2"/>
  <c r="BY26" i="2"/>
  <c r="BX26" i="2"/>
  <c r="CE25" i="2"/>
  <c r="CD25" i="2"/>
  <c r="CC25" i="2"/>
  <c r="CB25" i="2"/>
  <c r="CA25" i="2"/>
  <c r="BZ25" i="2"/>
  <c r="BY25" i="2"/>
  <c r="BX25" i="2"/>
  <c r="CE24" i="2"/>
  <c r="CD24" i="2"/>
  <c r="CC24" i="2"/>
  <c r="CB24" i="2"/>
  <c r="CA24" i="2"/>
  <c r="BZ24" i="2"/>
  <c r="BY24" i="2"/>
  <c r="BX24" i="2"/>
  <c r="CE23" i="2"/>
  <c r="CD23" i="2"/>
  <c r="CC23" i="2"/>
  <c r="CB23" i="2"/>
  <c r="CA23" i="2"/>
  <c r="BZ23" i="2"/>
  <c r="BY23" i="2"/>
  <c r="BX23" i="2"/>
  <c r="CE22" i="2"/>
  <c r="CD22" i="2"/>
  <c r="CC22" i="2"/>
  <c r="CB22" i="2"/>
  <c r="CA22" i="2"/>
  <c r="BZ22" i="2"/>
  <c r="BY22" i="2"/>
  <c r="BX22" i="2"/>
  <c r="CE21" i="2"/>
  <c r="CD21" i="2"/>
  <c r="CC21" i="2"/>
  <c r="CB21" i="2"/>
  <c r="CA21" i="2"/>
  <c r="BZ21" i="2"/>
  <c r="BY21" i="2"/>
  <c r="BX21" i="2"/>
  <c r="CE20" i="2"/>
  <c r="CD20" i="2"/>
  <c r="CC20" i="2"/>
  <c r="CB20" i="2"/>
  <c r="CA20" i="2"/>
  <c r="BZ20" i="2"/>
  <c r="BY20" i="2"/>
  <c r="BX20" i="2"/>
  <c r="CE19" i="2"/>
  <c r="CD19" i="2"/>
  <c r="CC19" i="2"/>
  <c r="CB19" i="2"/>
  <c r="CA19" i="2"/>
  <c r="BZ19" i="2"/>
  <c r="BY19" i="2"/>
  <c r="BX19" i="2"/>
  <c r="CE18" i="2"/>
  <c r="CD18" i="2"/>
  <c r="CC18" i="2"/>
  <c r="CB18" i="2"/>
  <c r="CA18" i="2"/>
  <c r="BZ18" i="2"/>
  <c r="BY18" i="2"/>
  <c r="BX18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5" i="2"/>
  <c r="CD15" i="2"/>
  <c r="CC15" i="2"/>
  <c r="CB15" i="2"/>
  <c r="CA15" i="2"/>
  <c r="BZ15" i="2"/>
  <c r="BY15" i="2"/>
  <c r="BX15" i="2"/>
  <c r="CE14" i="2"/>
  <c r="CD14" i="2"/>
  <c r="CC14" i="2"/>
  <c r="CB14" i="2"/>
  <c r="CA14" i="2"/>
  <c r="BZ14" i="2"/>
  <c r="BY14" i="2"/>
  <c r="BX14" i="2"/>
  <c r="CE13" i="2"/>
  <c r="CD13" i="2"/>
  <c r="CC13" i="2"/>
  <c r="CB13" i="2"/>
  <c r="CA13" i="2"/>
  <c r="BZ13" i="2"/>
  <c r="BY13" i="2"/>
  <c r="BX13" i="2"/>
  <c r="CE12" i="2"/>
  <c r="CD12" i="2"/>
  <c r="CC12" i="2"/>
  <c r="CB12" i="2"/>
  <c r="CA12" i="2"/>
  <c r="BZ12" i="2"/>
  <c r="BY12" i="2"/>
  <c r="BX12" i="2"/>
  <c r="CE11" i="2"/>
  <c r="CD11" i="2"/>
  <c r="CC11" i="2"/>
  <c r="CB11" i="2"/>
  <c r="CA11" i="2"/>
  <c r="BZ11" i="2"/>
  <c r="BY11" i="2"/>
  <c r="BX11" i="2"/>
  <c r="CE10" i="2"/>
  <c r="CD10" i="2"/>
  <c r="CC10" i="2"/>
  <c r="CB10" i="2"/>
  <c r="CA10" i="2"/>
  <c r="BZ10" i="2"/>
  <c r="BY10" i="2"/>
  <c r="BX10" i="2"/>
  <c r="CE9" i="2"/>
  <c r="CD9" i="2"/>
  <c r="CC9" i="2"/>
  <c r="CB9" i="2"/>
  <c r="CA9" i="2"/>
  <c r="BZ9" i="2"/>
  <c r="BY9" i="2"/>
  <c r="BX9" i="2"/>
  <c r="CE7" i="2"/>
  <c r="CD7" i="2"/>
  <c r="CC7" i="2"/>
  <c r="CB7" i="2"/>
  <c r="CA7" i="2"/>
  <c r="BZ7" i="2"/>
  <c r="BY7" i="2"/>
  <c r="BX7" i="2"/>
  <c r="BW7" i="2"/>
  <c r="CE6" i="2"/>
  <c r="CD6" i="2"/>
  <c r="CC6" i="2"/>
  <c r="CB6" i="2"/>
  <c r="CA6" i="2"/>
  <c r="BZ6" i="2"/>
  <c r="BY6" i="2"/>
  <c r="BX6" i="2"/>
  <c r="CE5" i="2"/>
  <c r="CD5" i="2"/>
  <c r="CC5" i="2"/>
  <c r="CB5" i="2"/>
  <c r="CA5" i="2"/>
  <c r="BZ5" i="2"/>
  <c r="BY5" i="2"/>
  <c r="BX5" i="2"/>
  <c r="CE4" i="2"/>
  <c r="CD4" i="2"/>
  <c r="CC4" i="2"/>
  <c r="CB4" i="2"/>
  <c r="CA4" i="2"/>
  <c r="BZ4" i="2"/>
  <c r="BY4" i="2"/>
  <c r="BX4" i="2"/>
  <c r="CE3" i="2"/>
  <c r="CD3" i="2"/>
  <c r="CC3" i="2"/>
  <c r="CB3" i="2"/>
  <c r="CA3" i="2"/>
  <c r="BZ3" i="2"/>
  <c r="BY3" i="2"/>
  <c r="BX3" i="2"/>
  <c r="CE2" i="2"/>
  <c r="CD2" i="2"/>
  <c r="CC2" i="2"/>
  <c r="CB2" i="2"/>
  <c r="CA2" i="2"/>
  <c r="BZ2" i="2"/>
  <c r="BY2" i="2"/>
  <c r="BX2" i="2"/>
  <c r="BU2" i="2"/>
  <c r="BV31" i="2"/>
  <c r="BW31" i="2"/>
  <c r="BW2" i="2"/>
  <c r="BU25" i="2"/>
  <c r="BV25" i="2"/>
  <c r="BV2" i="2"/>
  <c r="BV28" i="2"/>
  <c r="BW17" i="2"/>
  <c r="BU22" i="2"/>
  <c r="BW40" i="2"/>
  <c r="BV9" i="2"/>
  <c r="BU6" i="2"/>
  <c r="BU19" i="2"/>
  <c r="BU37" i="2"/>
  <c r="BV16" i="2"/>
  <c r="BV49" i="2"/>
  <c r="BW16" i="2"/>
  <c r="BW29" i="2"/>
  <c r="BW43" i="2"/>
  <c r="BU3" i="2"/>
  <c r="BU13" i="2"/>
  <c r="BW13" i="2"/>
  <c r="BU49" i="2"/>
  <c r="BU21" i="2"/>
  <c r="BW24" i="2"/>
  <c r="BW33" i="2"/>
  <c r="BU39" i="2"/>
  <c r="BU11" i="2"/>
  <c r="BV36" i="2"/>
  <c r="BU12" i="2"/>
  <c r="BV24" i="2"/>
  <c r="BW12" i="2"/>
  <c r="BU42" i="2"/>
  <c r="BV27" i="2"/>
  <c r="BU36" i="2"/>
  <c r="BV42" i="2"/>
  <c r="BU4" i="2"/>
  <c r="BV11" i="2"/>
  <c r="BW9" i="2"/>
  <c r="BV12" i="2"/>
  <c r="BU5" i="2"/>
  <c r="BV21" i="2"/>
  <c r="BU27" i="2"/>
  <c r="BV4" i="2"/>
  <c r="BU7" i="2"/>
  <c r="BU20" i="2"/>
  <c r="BU23" i="2"/>
  <c r="BU35" i="2"/>
  <c r="BU44" i="2"/>
  <c r="BV47" i="2"/>
  <c r="BV45" i="2"/>
  <c r="BW4" i="2"/>
  <c r="BV7" i="2"/>
  <c r="BW14" i="2"/>
  <c r="BU17" i="2"/>
  <c r="BV26" i="2"/>
  <c r="BV35" i="2"/>
  <c r="BW41" i="2"/>
  <c r="BW47" i="2"/>
  <c r="BU45" i="2"/>
  <c r="BW32" i="2"/>
  <c r="BW35" i="2"/>
  <c r="BV38" i="2"/>
  <c r="BV3" i="2"/>
  <c r="BV10" i="2"/>
  <c r="BW3" i="2"/>
  <c r="BU16" i="2"/>
  <c r="BV46" i="2"/>
  <c r="BW38" i="2"/>
  <c r="BW45" i="2"/>
  <c r="BV6" i="2"/>
  <c r="BW11" i="2"/>
  <c r="BW15" i="2"/>
  <c r="BV19" i="2"/>
  <c r="BW23" i="2"/>
  <c r="BW27" i="2"/>
  <c r="BU30" i="2"/>
  <c r="BU41" i="2"/>
  <c r="BW6" i="2"/>
  <c r="BU10" i="2"/>
  <c r="BW19" i="2"/>
  <c r="BU26" i="2"/>
  <c r="BW26" i="2"/>
  <c r="BV30" i="2"/>
  <c r="BV41" i="2"/>
  <c r="BW10" i="2"/>
  <c r="BU14" i="2"/>
  <c r="BV18" i="2"/>
  <c r="BV22" i="2"/>
  <c r="BU33" i="2"/>
  <c r="BW37" i="2"/>
  <c r="BU40" i="2"/>
  <c r="BV44" i="2"/>
  <c r="BV5" i="2"/>
  <c r="BW5" i="2"/>
  <c r="BU9" i="2"/>
  <c r="BV14" i="2"/>
  <c r="BW18" i="2"/>
  <c r="BW22" i="2"/>
  <c r="BV33" i="2"/>
  <c r="BV40" i="2"/>
  <c r="BU47" i="2"/>
  <c r="BV13" i="2"/>
  <c r="BV17" i="2"/>
  <c r="BW21" i="2"/>
  <c r="BV32" i="2"/>
  <c r="BW36" i="2"/>
  <c r="BW30" i="2"/>
  <c r="BU34" i="2"/>
  <c r="BV39" i="2"/>
  <c r="BW44" i="2"/>
  <c r="BU48" i="2"/>
  <c r="BW49" i="2"/>
  <c r="BU15" i="2"/>
  <c r="BV20" i="2"/>
  <c r="BW25" i="2"/>
  <c r="BU29" i="2"/>
  <c r="BV34" i="2"/>
  <c r="BW39" i="2"/>
  <c r="BU43" i="2"/>
  <c r="BV48" i="2"/>
  <c r="BV15" i="2"/>
  <c r="BW20" i="2"/>
  <c r="BU24" i="2"/>
  <c r="BV29" i="2"/>
  <c r="BW34" i="2"/>
  <c r="BU38" i="2"/>
  <c r="BV43" i="2"/>
  <c r="BW48" i="2"/>
  <c r="BU18" i="2"/>
  <c r="BV23" i="2"/>
  <c r="BW28" i="2"/>
  <c r="BU32" i="2"/>
  <c r="BV37" i="2"/>
  <c r="BW42" i="2"/>
  <c r="BU46" i="2"/>
  <c r="CF45" i="2" l="1"/>
  <c r="CF21" i="2"/>
  <c r="CF3" i="2"/>
  <c r="CF23" i="2"/>
  <c r="CF25" i="2"/>
  <c r="CF22" i="2"/>
  <c r="CF35" i="2"/>
  <c r="CF40" i="2"/>
  <c r="CF33" i="2"/>
  <c r="CF10" i="2"/>
  <c r="CF4" i="2"/>
  <c r="CF6" i="2"/>
  <c r="CF24" i="2"/>
  <c r="CF42" i="2"/>
  <c r="CF2" i="2"/>
  <c r="CF12" i="2"/>
  <c r="CF27" i="2"/>
  <c r="CF8" i="2"/>
  <c r="CF30" i="2"/>
  <c r="CF9" i="2"/>
  <c r="CF11" i="2"/>
  <c r="CF5" i="2"/>
  <c r="CF37" i="2"/>
  <c r="CF46" i="2"/>
  <c r="CF28" i="2"/>
  <c r="CF13" i="2"/>
  <c r="CF32" i="2"/>
  <c r="CF26" i="2"/>
  <c r="CF38" i="2"/>
  <c r="CF15" i="2"/>
  <c r="CF34" i="2"/>
  <c r="CF39" i="2"/>
  <c r="CF18" i="2"/>
  <c r="CF47" i="2"/>
  <c r="CF36" i="2"/>
  <c r="CF14" i="2"/>
  <c r="CF19" i="2"/>
  <c r="CF44" i="2"/>
  <c r="CF17" i="2"/>
  <c r="CF48" i="2"/>
  <c r="CF20" i="2"/>
  <c r="CF31" i="2"/>
  <c r="CF16" i="2"/>
  <c r="CF49" i="2"/>
  <c r="CF29" i="2"/>
  <c r="CF7" i="2"/>
  <c r="CF43" i="2"/>
  <c r="CF4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<sst xmlns="http://schemas.openxmlformats.org/spreadsheetml/2006/main" count="3807" uniqueCount="248">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</sst>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1.50233668981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3" maxValue="19"/>
    </cacheField>
    <cacheField name="Punts Grups 2n" numFmtId="0">
      <sharedItems containsSemiMixedTypes="0" containsString="0" containsNumber="1" containsInteger="1" minValue="8" maxValue="16"/>
    </cacheField>
    <cacheField name="Punts Grups 3r" numFmtId="0">
      <sharedItems containsSemiMixedTypes="0" containsString="0" containsNumber="1" minValue="3.5" maxValue="12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2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8.5" maxValue="45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8"/>
    <n v="12"/>
    <n v="9"/>
    <n v="0"/>
    <n v="0"/>
    <n v="0"/>
    <n v="0"/>
    <n v="0"/>
    <n v="0"/>
    <n v="0"/>
    <n v="0"/>
    <n v="39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8"/>
    <n v="15"/>
    <n v="10.5"/>
    <n v="0"/>
    <n v="0"/>
    <n v="0"/>
    <n v="0"/>
    <n v="0"/>
    <n v="0"/>
    <n v="2"/>
    <n v="0"/>
    <n v="45.5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8"/>
    <n v="13"/>
    <n v="9"/>
    <n v="0"/>
    <n v="0"/>
    <n v="0"/>
    <n v="0"/>
    <n v="0"/>
    <n v="0"/>
    <n v="0"/>
    <n v="0"/>
    <n v="40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7"/>
    <n v="14"/>
    <n v="12.5"/>
    <n v="0"/>
    <n v="0"/>
    <n v="0"/>
    <n v="0"/>
    <n v="0"/>
    <n v="0"/>
    <n v="2"/>
    <n v="0"/>
    <n v="45.5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6"/>
    <n v="13"/>
    <n v="10.5"/>
    <n v="0"/>
    <n v="0"/>
    <n v="0"/>
    <n v="0"/>
    <n v="0"/>
    <n v="0"/>
    <n v="2"/>
    <n v="0"/>
    <n v="41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9"/>
    <n v="13"/>
    <n v="10.5"/>
    <n v="0"/>
    <n v="0"/>
    <n v="0"/>
    <n v="0"/>
    <n v="0"/>
    <n v="0"/>
    <n v="2"/>
    <n v="0"/>
    <n v="44.5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4"/>
    <n v="11"/>
    <n v="3.5"/>
    <n v="0"/>
    <n v="0"/>
    <n v="0"/>
    <n v="0"/>
    <n v="0"/>
    <n v="0"/>
    <n v="0"/>
    <n v="0"/>
    <n v="2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5"/>
    <n v="13"/>
    <n v="11"/>
    <n v="0"/>
    <n v="0"/>
    <n v="0"/>
    <n v="0"/>
    <n v="0"/>
    <n v="0"/>
    <n v="2"/>
    <n v="0"/>
    <n v="41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5"/>
    <n v="13"/>
    <n v="10.5"/>
    <n v="0"/>
    <n v="0"/>
    <n v="0"/>
    <n v="0"/>
    <n v="0"/>
    <n v="0"/>
    <n v="2"/>
    <n v="0"/>
    <n v="40.5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6"/>
    <n v="15"/>
    <n v="9"/>
    <n v="0"/>
    <n v="0"/>
    <n v="0"/>
    <n v="0"/>
    <n v="0"/>
    <n v="0"/>
    <n v="2"/>
    <n v="0"/>
    <n v="42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3"/>
    <n v="11"/>
    <n v="10.5"/>
    <n v="0"/>
    <n v="0"/>
    <n v="0"/>
    <n v="0"/>
    <n v="0"/>
    <n v="0"/>
    <n v="2"/>
    <n v="0"/>
    <n v="36.5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3"/>
    <n v="12"/>
    <n v="12.5"/>
    <n v="0"/>
    <n v="0"/>
    <n v="0"/>
    <n v="0"/>
    <n v="0"/>
    <n v="0"/>
    <n v="2"/>
    <n v="0"/>
    <n v="39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8"/>
    <n v="12"/>
    <n v="11"/>
    <n v="0"/>
    <n v="0"/>
    <n v="0"/>
    <n v="0"/>
    <n v="0"/>
    <n v="0"/>
    <n v="0"/>
    <n v="0"/>
    <n v="41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7"/>
    <n v="15"/>
    <n v="7.5"/>
    <n v="0"/>
    <n v="0"/>
    <n v="0"/>
    <n v="0"/>
    <n v="0"/>
    <n v="0"/>
    <n v="0"/>
    <n v="0"/>
    <n v="3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9"/>
    <n v="13"/>
    <n v="7.5"/>
    <n v="0"/>
    <n v="0"/>
    <n v="0"/>
    <n v="0"/>
    <n v="0"/>
    <n v="0"/>
    <n v="0"/>
    <n v="0"/>
    <n v="39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6"/>
    <n v="8"/>
    <n v="12.5"/>
    <n v="0"/>
    <n v="0"/>
    <n v="0"/>
    <n v="0"/>
    <n v="0"/>
    <n v="0"/>
    <n v="2"/>
    <n v="0"/>
    <n v="38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6"/>
    <n v="12"/>
    <n v="7.5"/>
    <n v="0"/>
    <n v="0"/>
    <n v="0"/>
    <n v="0"/>
    <n v="0"/>
    <n v="0"/>
    <n v="2"/>
    <n v="0"/>
    <n v="37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7"/>
    <n v="13"/>
    <n v="10"/>
    <n v="0"/>
    <n v="0"/>
    <n v="0"/>
    <n v="0"/>
    <n v="0"/>
    <n v="0"/>
    <n v="1"/>
    <n v="0"/>
    <n v="41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6"/>
    <n v="11"/>
    <n v="10"/>
    <n v="0"/>
    <n v="0"/>
    <n v="0"/>
    <n v="0"/>
    <n v="0"/>
    <n v="0"/>
    <n v="2"/>
    <n v="0"/>
    <n v="39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6"/>
    <n v="11"/>
    <n v="10.5"/>
    <n v="0"/>
    <n v="0"/>
    <n v="0"/>
    <n v="0"/>
    <n v="0"/>
    <n v="0"/>
    <n v="2"/>
    <n v="0"/>
    <n v="39.5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3"/>
    <n v="11"/>
    <n v="8.5"/>
    <n v="0"/>
    <n v="0"/>
    <n v="0"/>
    <n v="0"/>
    <n v="0"/>
    <n v="0"/>
    <n v="2"/>
    <n v="0"/>
    <n v="34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3"/>
    <n v="11"/>
    <n v="8.5"/>
    <n v="0"/>
    <n v="0"/>
    <n v="0"/>
    <n v="0"/>
    <n v="0"/>
    <n v="0"/>
    <n v="2"/>
    <n v="0"/>
    <n v="3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8"/>
    <n v="16"/>
    <n v="6.5"/>
    <n v="0"/>
    <n v="0"/>
    <n v="0"/>
    <n v="0"/>
    <n v="0"/>
    <n v="0"/>
    <n v="2"/>
    <n v="0"/>
    <n v="42.5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3"/>
    <n v="11"/>
    <n v="8.5"/>
    <n v="0"/>
    <n v="0"/>
    <n v="0"/>
    <n v="0"/>
    <n v="0"/>
    <n v="0"/>
    <n v="0"/>
    <n v="0"/>
    <n v="3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6"/>
    <n v="13"/>
    <n v="10"/>
    <n v="0"/>
    <n v="0"/>
    <n v="0"/>
    <n v="0"/>
    <n v="0"/>
    <n v="0"/>
    <n v="2"/>
    <n v="0"/>
    <n v="41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5"/>
    <n v="11"/>
    <n v="10.5"/>
    <n v="0"/>
    <n v="0"/>
    <n v="0"/>
    <n v="0"/>
    <n v="0"/>
    <n v="0"/>
    <n v="0"/>
    <n v="0"/>
    <n v="36.5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6"/>
    <n v="13"/>
    <n v="10.5"/>
    <n v="0"/>
    <n v="0"/>
    <n v="0"/>
    <n v="0"/>
    <n v="0"/>
    <n v="0"/>
    <n v="2"/>
    <n v="0"/>
    <n v="41.5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7"/>
    <n v="10"/>
    <n v="9.5"/>
    <n v="0"/>
    <n v="0"/>
    <n v="0"/>
    <n v="0"/>
    <n v="0"/>
    <n v="0"/>
    <n v="2"/>
    <n v="0"/>
    <n v="38.5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5"/>
    <n v="12"/>
    <n v="9"/>
    <n v="0"/>
    <n v="0"/>
    <n v="0"/>
    <n v="0"/>
    <n v="0"/>
    <n v="0"/>
    <n v="0"/>
    <n v="0"/>
    <n v="36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5"/>
    <n v="12"/>
    <n v="9.5"/>
    <n v="0"/>
    <n v="0"/>
    <n v="0"/>
    <n v="0"/>
    <n v="0"/>
    <n v="0"/>
    <n v="2"/>
    <n v="0"/>
    <n v="38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7"/>
    <n v="14"/>
    <n v="9"/>
    <n v="0"/>
    <n v="0"/>
    <n v="0"/>
    <n v="0"/>
    <n v="0"/>
    <n v="0"/>
    <n v="2"/>
    <n v="0"/>
    <n v="42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6"/>
    <n v="11"/>
    <n v="10.5"/>
    <n v="0"/>
    <n v="0"/>
    <n v="0"/>
    <n v="0"/>
    <n v="0"/>
    <n v="0"/>
    <n v="0"/>
    <n v="0"/>
    <n v="37.5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8"/>
    <n v="14"/>
    <n v="8.5"/>
    <n v="0"/>
    <n v="0"/>
    <n v="0"/>
    <n v="0"/>
    <n v="0"/>
    <n v="0"/>
    <n v="2"/>
    <n v="0"/>
    <n v="42.5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5"/>
    <n v="12"/>
    <n v="12"/>
    <n v="0"/>
    <n v="0"/>
    <n v="0"/>
    <n v="0"/>
    <n v="0"/>
    <n v="0"/>
    <n v="2"/>
    <n v="0"/>
    <n v="41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6"/>
    <n v="12"/>
    <n v="12"/>
    <n v="0"/>
    <n v="0"/>
    <n v="0"/>
    <n v="0"/>
    <n v="0"/>
    <n v="0"/>
    <n v="2"/>
    <n v="0"/>
    <n v="42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7"/>
    <n v="15"/>
    <n v="10.5"/>
    <n v="0"/>
    <n v="0"/>
    <n v="0"/>
    <n v="0"/>
    <n v="0"/>
    <n v="0"/>
    <n v="0"/>
    <n v="0"/>
    <n v="42.5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6"/>
    <n v="12"/>
    <n v="10.5"/>
    <n v="0"/>
    <n v="0"/>
    <n v="0"/>
    <n v="0"/>
    <n v="0"/>
    <n v="0"/>
    <n v="2"/>
    <n v="0"/>
    <n v="40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2"/>
    <n v="10.5"/>
    <n v="0"/>
    <n v="0"/>
    <n v="0"/>
    <n v="0"/>
    <n v="0"/>
    <n v="0"/>
    <n v="0"/>
    <n v="0"/>
    <n v="39.5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5"/>
    <n v="12"/>
    <n v="12"/>
    <n v="0"/>
    <n v="0"/>
    <n v="0"/>
    <n v="0"/>
    <n v="0"/>
    <n v="0"/>
    <n v="2"/>
    <n v="0"/>
    <n v="41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8"/>
    <n v="12"/>
    <n v="9"/>
    <n v="0"/>
    <n v="0"/>
    <n v="0"/>
    <n v="0"/>
    <n v="0"/>
    <n v="0"/>
    <n v="0"/>
    <n v="0"/>
    <n v="39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7"/>
    <n v="15"/>
    <n v="11"/>
    <n v="0"/>
    <n v="0"/>
    <n v="0"/>
    <n v="0"/>
    <n v="0"/>
    <n v="0"/>
    <n v="2"/>
    <n v="0"/>
    <n v="4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6"/>
    <n v="13"/>
    <n v="12"/>
    <n v="0"/>
    <n v="0"/>
    <n v="0"/>
    <n v="0"/>
    <n v="0"/>
    <n v="0"/>
    <n v="2"/>
    <n v="0"/>
    <n v="43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7"/>
    <n v="14"/>
    <n v="11.5"/>
    <n v="0"/>
    <n v="0"/>
    <n v="0"/>
    <n v="0"/>
    <n v="0"/>
    <n v="0"/>
    <n v="2"/>
    <n v="0"/>
    <n v="44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7"/>
    <n v="12"/>
    <n v="7.5"/>
    <n v="0"/>
    <n v="0"/>
    <n v="0"/>
    <n v="0"/>
    <n v="0"/>
    <n v="0"/>
    <n v="2"/>
    <n v="0"/>
    <n v="38.5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8"/>
    <n v="14"/>
    <n v="8.5"/>
    <n v="0"/>
    <n v="0"/>
    <n v="0"/>
    <n v="0"/>
    <n v="0"/>
    <n v="0"/>
    <n v="0"/>
    <n v="0"/>
    <n v="40.5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4"/>
    <n v="10"/>
    <n v="10.5"/>
    <n v="0"/>
    <n v="0"/>
    <n v="0"/>
    <n v="0"/>
    <n v="0"/>
    <n v="0"/>
    <n v="0"/>
    <n v="0"/>
    <n v="34.5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16"/>
    <n v="15"/>
    <n v="6.5"/>
    <n v="0"/>
    <n v="0"/>
    <n v="0"/>
    <n v="0"/>
    <n v="0"/>
    <n v="0"/>
    <n v="2"/>
    <n v="0"/>
    <n v="39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5"/>
    <n v="13"/>
    <n v="9.5"/>
    <n v="0"/>
    <n v="0"/>
    <n v="0"/>
    <n v="0"/>
    <n v="0"/>
    <n v="0"/>
    <n v="0"/>
    <n v="0"/>
    <n v="37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47"/>
    </i>
    <i>
      <x v="26"/>
    </i>
    <i>
      <x v="7"/>
    </i>
    <i>
      <x v="39"/>
    </i>
    <i>
      <x v="24"/>
    </i>
    <i>
      <x v="31"/>
    </i>
    <i>
      <x v="35"/>
    </i>
    <i>
      <x v="19"/>
    </i>
    <i>
      <x v="30"/>
    </i>
    <i>
      <x v="16"/>
    </i>
    <i>
      <x v="33"/>
    </i>
    <i>
      <x v="27"/>
    </i>
    <i>
      <x v="45"/>
    </i>
    <i>
      <x v="34"/>
    </i>
    <i>
      <x v="8"/>
    </i>
    <i>
      <x v="21"/>
    </i>
    <i>
      <x v="46"/>
    </i>
    <i>
      <x v="1"/>
    </i>
    <i>
      <x v="48"/>
    </i>
    <i>
      <x v="12"/>
    </i>
    <i>
      <x v="6"/>
    </i>
    <i>
      <x v="41"/>
    </i>
    <i>
      <x v="10"/>
    </i>
    <i>
      <x v="25"/>
    </i>
    <i>
      <x v="49"/>
    </i>
    <i>
      <x/>
    </i>
    <i>
      <x v="2"/>
    </i>
    <i>
      <x v="14"/>
    </i>
    <i>
      <x v="5"/>
    </i>
    <i>
      <x v="17"/>
    </i>
    <i>
      <x v="42"/>
    </i>
    <i>
      <x v="11"/>
    </i>
    <i>
      <x v="9"/>
    </i>
    <i>
      <x v="28"/>
    </i>
    <i>
      <x v="32"/>
    </i>
    <i>
      <x v="40"/>
    </i>
    <i>
      <x v="53"/>
    </i>
    <i>
      <x v="38"/>
    </i>
    <i>
      <x v="13"/>
    </i>
    <i>
      <x v="50"/>
    </i>
    <i>
      <x v="20"/>
    </i>
    <i>
      <x v="22"/>
    </i>
    <i>
      <x v="37"/>
    </i>
    <i>
      <x v="18"/>
    </i>
    <i>
      <x v="15"/>
    </i>
    <i>
      <x v="51"/>
    </i>
    <i>
      <x v="52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7"/>
  <sheetViews>
    <sheetView tabSelected="1" workbookViewId="0">
      <selection activeCell="J11" sqref="J11"/>
    </sheetView>
  </sheetViews>
  <sheetFormatPr baseColWidth="10" defaultColWidth="9.140625" defaultRowHeight="15" x14ac:dyDescent="0.25"/>
  <cols>
    <col min="1" max="1" width="7" bestFit="1" customWidth="1"/>
    <col min="2" max="2" width="8.42578125" bestFit="1" customWidth="1"/>
    <col min="3" max="3" width="19.42578125" bestFit="1" customWidth="1"/>
    <col min="4" max="4" width="19" bestFit="1" customWidth="1"/>
    <col min="5" max="5" width="15.140625" bestFit="1" customWidth="1"/>
    <col min="6" max="6" width="19" bestFit="1" customWidth="1"/>
    <col min="7" max="7" width="8.5703125" bestFit="1" customWidth="1"/>
    <col min="8" max="8" width="19" bestFit="1" customWidth="1"/>
    <col min="9" max="9" width="8.5703125" bestFit="1" customWidth="1"/>
    <col min="10" max="10" width="19" bestFit="1" customWidth="1"/>
    <col min="11" max="11" width="8.5703125" bestFit="1" customWidth="1"/>
    <col min="12" max="12" width="19" bestFit="1" customWidth="1"/>
    <col min="13" max="13" width="10.7109375" bestFit="1" customWidth="1"/>
    <col min="14" max="15" width="8.5703125" bestFit="1" customWidth="1"/>
    <col min="16" max="16" width="14.85546875" bestFit="1" customWidth="1"/>
    <col min="17" max="17" width="10" customWidth="1"/>
    <col min="18" max="18" width="22.5703125" bestFit="1" customWidth="1"/>
    <col min="19" max="19" width="10.28515625" bestFit="1" customWidth="1"/>
    <col min="22" max="22" width="9" bestFit="1" customWidth="1"/>
    <col min="23" max="23" width="9.7109375" bestFit="1" customWidth="1"/>
    <col min="24" max="24" width="15.5703125" bestFit="1" customWidth="1"/>
  </cols>
  <sheetData>
    <row r="1" spans="1:19" x14ac:dyDescent="0.25">
      <c r="A1" s="1" t="s">
        <v>217</v>
      </c>
      <c r="B1" s="1" t="s">
        <v>218</v>
      </c>
      <c r="C1" s="1" t="s">
        <v>219</v>
      </c>
      <c r="D1" s="15" t="s">
        <v>247</v>
      </c>
      <c r="E1" s="1" t="s">
        <v>220</v>
      </c>
      <c r="F1" s="15" t="s">
        <v>247</v>
      </c>
      <c r="G1" s="1" t="s">
        <v>221</v>
      </c>
      <c r="H1" s="15" t="s">
        <v>247</v>
      </c>
      <c r="I1" s="1" t="s">
        <v>222</v>
      </c>
      <c r="J1" s="15" t="s">
        <v>247</v>
      </c>
      <c r="K1" s="1" t="s">
        <v>223</v>
      </c>
      <c r="L1" s="15" t="s">
        <v>247</v>
      </c>
      <c r="M1" s="1" t="s">
        <v>224</v>
      </c>
      <c r="N1" s="1" t="s">
        <v>68</v>
      </c>
      <c r="O1" s="1" t="s">
        <v>70</v>
      </c>
      <c r="P1" s="1" t="s">
        <v>82</v>
      </c>
      <c r="R1" s="1" t="s">
        <v>225</v>
      </c>
      <c r="S1" s="1" t="s">
        <v>226</v>
      </c>
    </row>
    <row r="2" spans="1:19" x14ac:dyDescent="0.25">
      <c r="A2" s="2" t="s">
        <v>227</v>
      </c>
      <c r="B2" s="2" t="s">
        <v>228</v>
      </c>
      <c r="C2" s="3" t="s">
        <v>86</v>
      </c>
      <c r="D2" s="2" t="str" cm="1">
        <f t="array" ref="D2">IF(SUMPRODUCT(--EXACT(C2,Països_ok!$A$1:$A$47))&gt;0,"OK","Revisar")</f>
        <v>OK</v>
      </c>
      <c r="E2" s="14" t="s">
        <v>90</v>
      </c>
      <c r="F2" s="2" t="str" cm="1">
        <f t="array" ref="F2">IF(SUMPRODUCT(--EXACT(E2,C2:C37))&gt;0,"OK","Revisar")</f>
        <v>OK</v>
      </c>
      <c r="G2" s="10" t="s">
        <v>229</v>
      </c>
      <c r="H2" s="2" t="str" cm="1">
        <f t="array" ref="H2">IF(SUMPRODUCT(--EXACT(G2,E2:E37))&gt;0,"OK","Revisar")</f>
        <v>Revisar</v>
      </c>
      <c r="I2" s="10" t="s">
        <v>229</v>
      </c>
      <c r="J2" s="2" t="str" cm="1">
        <f t="array" ref="J2">IF(SUMPRODUCT(--EXACT(I2,G2:G37))&gt;0,"OK","Revisar")</f>
        <v>OK</v>
      </c>
      <c r="K2" s="10" t="s">
        <v>229</v>
      </c>
      <c r="L2" s="2" t="str" cm="1">
        <f t="array" ref="L2">IF(SUMPRODUCT(--EXACT(K2,I2:I37))&gt;0,"OK","Revisar")</f>
        <v>OK</v>
      </c>
      <c r="M2" s="10" t="s">
        <v>229</v>
      </c>
      <c r="N2" s="10" t="s">
        <v>229</v>
      </c>
      <c r="O2" s="10" t="s">
        <v>229</v>
      </c>
      <c r="P2" s="10" t="s">
        <v>229</v>
      </c>
      <c r="R2" t="s">
        <v>158</v>
      </c>
      <c r="S2" s="3">
        <v>3</v>
      </c>
    </row>
    <row r="3" spans="1:19" x14ac:dyDescent="0.25">
      <c r="A3" s="2" t="s">
        <v>227</v>
      </c>
      <c r="B3" s="2" t="s">
        <v>230</v>
      </c>
      <c r="C3" s="3" t="s">
        <v>98</v>
      </c>
      <c r="D3" s="2" t="str" cm="1">
        <f t="array" ref="D3">IF(SUMPRODUCT(--EXACT(C3,Països_ok!$A$1:$A$47))&gt;0,"OK","Revisar")</f>
        <v>OK</v>
      </c>
      <c r="E3" s="14" t="s">
        <v>97</v>
      </c>
      <c r="F3" s="2" t="str" cm="1">
        <f t="array" ref="F3">IF(SUMPRODUCT(--EXACT(E3,Països_ok!$A$1:$A$47))&gt;0,"OK","Revisar")</f>
        <v>OK</v>
      </c>
      <c r="G3" s="10" t="s">
        <v>229</v>
      </c>
      <c r="H3" s="2" t="str" cm="1">
        <f t="array" ref="H3">IF(SUMPRODUCT(--EXACT(G3,E3:E38))&gt;0,"OK","Revisar")</f>
        <v>Revisar</v>
      </c>
      <c r="I3" s="10" t="s">
        <v>229</v>
      </c>
      <c r="J3" s="2" t="str" cm="1">
        <f t="array" ref="J3">IF(SUMPRODUCT(--EXACT(I3,G3:G38))&gt;0,"OK","Revisar")</f>
        <v>OK</v>
      </c>
      <c r="K3" s="10" t="s">
        <v>229</v>
      </c>
      <c r="L3" s="2" t="str" cm="1">
        <f t="array" ref="L3">IF(SUMPRODUCT(--EXACT(K3,I3:I38))&gt;0,"OK","Revisar")</f>
        <v>OK</v>
      </c>
      <c r="M3" s="10" t="s">
        <v>229</v>
      </c>
      <c r="R3" t="s">
        <v>162</v>
      </c>
      <c r="S3" s="3">
        <v>2</v>
      </c>
    </row>
    <row r="4" spans="1:19" x14ac:dyDescent="0.25">
      <c r="A4" s="2" t="s">
        <v>227</v>
      </c>
      <c r="B4" s="2" t="s">
        <v>231</v>
      </c>
      <c r="C4" s="3" t="s">
        <v>110</v>
      </c>
      <c r="D4" s="2" t="str" cm="1">
        <f t="array" ref="D4">IF(SUMPRODUCT(--EXACT(C4,Països_ok!$A$1:$A$47))&gt;0,"OK","Revisar")</f>
        <v>OK</v>
      </c>
      <c r="E4" s="14" t="s">
        <v>95</v>
      </c>
      <c r="F4" s="2" t="str" cm="1">
        <f t="array" ref="F4">IF(SUMPRODUCT(--EXACT(E4,Països_ok!$A$1:$A$47))&gt;0,"OK","Revisar")</f>
        <v>OK</v>
      </c>
      <c r="G4" s="10" t="s">
        <v>229</v>
      </c>
      <c r="H4" s="2" t="str" cm="1">
        <f t="array" ref="H4">IF(SUMPRODUCT(--EXACT(G4,E4:E39))&gt;0,"OK","Revisar")</f>
        <v>Revisar</v>
      </c>
      <c r="I4" s="10" t="s">
        <v>229</v>
      </c>
      <c r="J4" s="2" t="str" cm="1">
        <f t="array" ref="J4">IF(SUMPRODUCT(--EXACT(I4,G4:G39))&gt;0,"OK","Revisar")</f>
        <v>OK</v>
      </c>
      <c r="K4" s="10" t="s">
        <v>229</v>
      </c>
      <c r="L4" s="16"/>
      <c r="R4" t="s">
        <v>155</v>
      </c>
      <c r="S4" s="3">
        <v>2</v>
      </c>
    </row>
    <row r="5" spans="1:19" x14ac:dyDescent="0.25">
      <c r="A5" s="2" t="s">
        <v>232</v>
      </c>
      <c r="B5" s="2" t="s">
        <v>228</v>
      </c>
      <c r="C5" s="3" t="s">
        <v>99</v>
      </c>
      <c r="D5" s="2" t="str" cm="1">
        <f t="array" ref="D5">IF(SUMPRODUCT(--EXACT(C5,Països_ok!$A$1:$A$47))&gt;0,"OK","Revisar")</f>
        <v>OK</v>
      </c>
      <c r="E5" s="14" t="s">
        <v>127</v>
      </c>
      <c r="F5" s="2" t="str" cm="1">
        <f t="array" ref="F5">IF(SUMPRODUCT(--EXACT(E5,Països_ok!$A$1:$A$47))&gt;0,"OK","Revisar")</f>
        <v>OK</v>
      </c>
      <c r="G5" s="10" t="s">
        <v>229</v>
      </c>
      <c r="H5" s="2" t="str" cm="1">
        <f t="array" ref="H5">IF(SUMPRODUCT(--EXACT(G5,E5:E40))&gt;0,"OK","Revisar")</f>
        <v>Revisar</v>
      </c>
      <c r="I5" s="10" t="s">
        <v>229</v>
      </c>
      <c r="J5" s="2" t="str" cm="1">
        <f t="array" ref="J5">IF(SUMPRODUCT(--EXACT(I5,G5:G40))&gt;0,"OK","Revisar")</f>
        <v>OK</v>
      </c>
      <c r="K5" s="10" t="s">
        <v>229</v>
      </c>
      <c r="L5" s="16"/>
      <c r="R5" t="s">
        <v>129</v>
      </c>
      <c r="S5" s="3">
        <v>2</v>
      </c>
    </row>
    <row r="6" spans="1:19" x14ac:dyDescent="0.25">
      <c r="A6" s="2" t="s">
        <v>232</v>
      </c>
      <c r="B6" s="2" t="s">
        <v>230</v>
      </c>
      <c r="C6" s="3" t="s">
        <v>87</v>
      </c>
      <c r="D6" s="2" t="str" cm="1">
        <f t="array" ref="D6">IF(SUMPRODUCT(--EXACT(C6,Països_ok!$A$1:$A$47))&gt;0,"OK","Revisar")</f>
        <v>OK</v>
      </c>
      <c r="E6" s="14" t="s">
        <v>107</v>
      </c>
      <c r="F6" s="2" t="str" cm="1">
        <f t="array" ref="F6">IF(SUMPRODUCT(--EXACT(E6,Països_ok!$A$1:$A$47))&gt;0,"OK","Revisar")</f>
        <v>OK</v>
      </c>
      <c r="G6" s="10" t="s">
        <v>229</v>
      </c>
      <c r="H6" s="2" t="str" cm="1">
        <f t="array" ref="H6">IF(SUMPRODUCT(--EXACT(G6,E6:E41))&gt;0,"OK","Revisar")</f>
        <v>Revisar</v>
      </c>
      <c r="I6" s="10" t="s">
        <v>229</v>
      </c>
      <c r="J6" s="16"/>
      <c r="R6" t="s">
        <v>167</v>
      </c>
      <c r="S6" s="3">
        <v>2</v>
      </c>
    </row>
    <row r="7" spans="1:19" x14ac:dyDescent="0.25">
      <c r="A7" s="2" t="s">
        <v>232</v>
      </c>
      <c r="B7" s="2" t="s">
        <v>231</v>
      </c>
      <c r="C7" s="3" t="s">
        <v>246</v>
      </c>
      <c r="D7" s="2" t="str" cm="1">
        <f t="array" ref="D7">IF(SUMPRODUCT(--EXACT(C7,Països_ok!$A$1:$A$47))&gt;0,"OK","Revisar")</f>
        <v>OK</v>
      </c>
      <c r="E7" s="14" t="s">
        <v>92</v>
      </c>
      <c r="F7" s="2" t="str" cm="1">
        <f t="array" ref="F7">IF(SUMPRODUCT(--EXACT(E7,Països_ok!$A$1:$A$47))&gt;0,"OK","Revisar")</f>
        <v>OK</v>
      </c>
      <c r="G7" s="10" t="s">
        <v>229</v>
      </c>
      <c r="H7" s="2" t="str" cm="1">
        <f t="array" ref="H7">IF(SUMPRODUCT(--EXACT(G7,E7:E42))&gt;0,"OK","Revisar")</f>
        <v>Revisar</v>
      </c>
      <c r="I7" s="10" t="s">
        <v>229</v>
      </c>
      <c r="J7" s="16"/>
      <c r="R7" t="s">
        <v>195</v>
      </c>
      <c r="S7" s="3">
        <v>0</v>
      </c>
    </row>
    <row r="8" spans="1:19" x14ac:dyDescent="0.25">
      <c r="A8" s="2" t="s">
        <v>233</v>
      </c>
      <c r="B8" s="2" t="s">
        <v>228</v>
      </c>
      <c r="C8" s="3" t="s">
        <v>88</v>
      </c>
      <c r="D8" s="2" t="str" cm="1">
        <f t="array" ref="D8">IF(SUMPRODUCT(--EXACT(C8,Països_ok!$A$1:$A$47))&gt;0,"OK","Revisar")</f>
        <v>OK</v>
      </c>
      <c r="E8" s="14" t="s">
        <v>88</v>
      </c>
      <c r="F8" s="2" t="str" cm="1">
        <f t="array" ref="F8">IF(SUMPRODUCT(--EXACT(E8,Països_ok!$A$1:$A$47))&gt;0,"OK","Revisar")</f>
        <v>OK</v>
      </c>
      <c r="G8" s="10" t="s">
        <v>229</v>
      </c>
      <c r="H8" s="2" t="str" cm="1">
        <f t="array" ref="H8">IF(SUMPRODUCT(--EXACT(G8,E8:E43))&gt;0,"OK","Revisar")</f>
        <v>Revisar</v>
      </c>
      <c r="I8" s="10" t="s">
        <v>229</v>
      </c>
      <c r="J8" s="16"/>
      <c r="R8" t="s">
        <v>212</v>
      </c>
      <c r="S8" s="3">
        <v>0</v>
      </c>
    </row>
    <row r="9" spans="1:19" x14ac:dyDescent="0.25">
      <c r="A9" s="2" t="s">
        <v>233</v>
      </c>
      <c r="B9" s="2" t="s">
        <v>230</v>
      </c>
      <c r="C9" s="3" t="s">
        <v>100</v>
      </c>
      <c r="D9" s="2" t="str" cm="1">
        <f t="array" ref="D9">IF(SUMPRODUCT(--EXACT(C9,Països_ok!$A$1:$A$47))&gt;0,"OK","Revisar")</f>
        <v>OK</v>
      </c>
      <c r="E9" s="14" t="s">
        <v>99</v>
      </c>
      <c r="F9" s="2" t="str" cm="1">
        <f t="array" ref="F9">IF(SUMPRODUCT(--EXACT(E9,Països_ok!$A$1:$A$47))&gt;0,"OK","Revisar")</f>
        <v>OK</v>
      </c>
      <c r="G9" s="10" t="s">
        <v>229</v>
      </c>
      <c r="H9" s="2" t="str" cm="1">
        <f t="array" ref="H9">IF(SUMPRODUCT(--EXACT(G9,E9:E44))&gt;0,"OK","Revisar")</f>
        <v>Revisar</v>
      </c>
      <c r="I9" s="10" t="s">
        <v>229</v>
      </c>
      <c r="J9" s="16"/>
      <c r="R9" t="s">
        <v>146</v>
      </c>
      <c r="S9" s="3">
        <v>0</v>
      </c>
    </row>
    <row r="10" spans="1:19" x14ac:dyDescent="0.25">
      <c r="A10" s="2" t="s">
        <v>233</v>
      </c>
      <c r="B10" s="2" t="s">
        <v>231</v>
      </c>
      <c r="C10" s="3" t="s">
        <v>112</v>
      </c>
      <c r="D10" s="2" t="str" cm="1">
        <f t="array" ref="D10">IF(SUMPRODUCT(--EXACT(C10,Països_ok!$A$1:$A$47))&gt;0,"OK","Revisar")</f>
        <v>OK</v>
      </c>
      <c r="E10" s="14" t="s">
        <v>143</v>
      </c>
      <c r="F10" s="2" t="str" cm="1">
        <f t="array" ref="F10">IF(SUMPRODUCT(--EXACT(E10,Països_ok!$A$1:$A$47))&gt;0,"OK","Revisar")</f>
        <v>OK</v>
      </c>
      <c r="G10" s="10" t="s">
        <v>229</v>
      </c>
      <c r="H10" s="16"/>
      <c r="R10" t="s">
        <v>122</v>
      </c>
      <c r="S10" s="3">
        <v>0</v>
      </c>
    </row>
    <row r="11" spans="1:19" x14ac:dyDescent="0.25">
      <c r="A11" s="2" t="s">
        <v>234</v>
      </c>
      <c r="B11" s="2" t="s">
        <v>228</v>
      </c>
      <c r="C11" s="3" t="s">
        <v>89</v>
      </c>
      <c r="D11" s="2" t="str" cm="1">
        <f t="array" ref="D11">IF(SUMPRODUCT(--EXACT(C11,Països_ok!$A$1:$A$47))&gt;0,"OK","Revisar")</f>
        <v>OK</v>
      </c>
      <c r="E11" s="14" t="s">
        <v>108</v>
      </c>
      <c r="F11" s="2" t="str" cm="1">
        <f t="array" ref="F11">IF(SUMPRODUCT(--EXACT(E11,Països_ok!$A$1:$A$47))&gt;0,"OK","Revisar")</f>
        <v>OK</v>
      </c>
      <c r="G11" s="10" t="s">
        <v>229</v>
      </c>
      <c r="H11" s="16"/>
      <c r="R11" t="s">
        <v>123</v>
      </c>
      <c r="S11" s="3">
        <v>2</v>
      </c>
    </row>
    <row r="12" spans="1:19" x14ac:dyDescent="0.25">
      <c r="A12" s="2" t="s">
        <v>234</v>
      </c>
      <c r="B12" s="2" t="s">
        <v>230</v>
      </c>
      <c r="C12" s="3" t="s">
        <v>127</v>
      </c>
      <c r="D12" s="2" t="str" cm="1">
        <f t="array" ref="D12">IF(SUMPRODUCT(--EXACT(C12,Països_ok!$A$1:$A$47))&gt;0,"OK","Revisar")</f>
        <v>OK</v>
      </c>
      <c r="E12" s="14" t="s">
        <v>98</v>
      </c>
      <c r="F12" s="2" t="str" cm="1">
        <f t="array" ref="F12">IF(SUMPRODUCT(--EXACT(E12,Països_ok!$A$1:$A$47))&gt;0,"OK","Revisar")</f>
        <v>OK</v>
      </c>
      <c r="G12" s="10" t="s">
        <v>229</v>
      </c>
      <c r="H12" s="16"/>
      <c r="R12" t="s">
        <v>134</v>
      </c>
      <c r="S12" s="3">
        <v>0</v>
      </c>
    </row>
    <row r="13" spans="1:19" x14ac:dyDescent="0.25">
      <c r="A13" s="2" t="s">
        <v>234</v>
      </c>
      <c r="B13" s="2" t="s">
        <v>231</v>
      </c>
      <c r="C13" s="3" t="s">
        <v>113</v>
      </c>
      <c r="D13" s="2" t="str" cm="1">
        <f t="array" ref="D13">IF(SUMPRODUCT(--EXACT(C13,Països_ok!$A$1:$A$47))&gt;0,"OK","Revisar")</f>
        <v>OK</v>
      </c>
      <c r="E13" s="14" t="s">
        <v>114</v>
      </c>
      <c r="F13" s="2" t="str" cm="1">
        <f t="array" ref="F13">IF(SUMPRODUCT(--EXACT(E13,Països_ok!$A$1:$A$47))&gt;0,"OK","Revisar")</f>
        <v>OK</v>
      </c>
      <c r="G13" s="10" t="s">
        <v>229</v>
      </c>
      <c r="H13" s="16"/>
      <c r="R13" t="s">
        <v>133</v>
      </c>
      <c r="S13" s="3">
        <v>0</v>
      </c>
    </row>
    <row r="14" spans="1:19" x14ac:dyDescent="0.25">
      <c r="A14" s="2" t="s">
        <v>235</v>
      </c>
      <c r="B14" s="2" t="s">
        <v>228</v>
      </c>
      <c r="C14" s="3" t="s">
        <v>90</v>
      </c>
      <c r="D14" s="2" t="str" cm="1">
        <f t="array" ref="D14">IF(SUMPRODUCT(--EXACT(C14,Països_ok!$A$1:$A$47))&gt;0,"OK","Revisar")</f>
        <v>OK</v>
      </c>
      <c r="E14" s="14" t="s">
        <v>109</v>
      </c>
      <c r="F14" s="2" t="str" cm="1">
        <f t="array" ref="F14">IF(SUMPRODUCT(--EXACT(E14,Països_ok!$A$1:$A$47))&gt;0,"OK","Revisar")</f>
        <v>OK</v>
      </c>
      <c r="G14" s="10" t="s">
        <v>229</v>
      </c>
      <c r="H14" s="16"/>
      <c r="R14" t="s">
        <v>201</v>
      </c>
      <c r="S14" s="3">
        <v>0</v>
      </c>
    </row>
    <row r="15" spans="1:19" x14ac:dyDescent="0.25">
      <c r="A15" s="2" t="s">
        <v>235</v>
      </c>
      <c r="B15" s="2" t="s">
        <v>230</v>
      </c>
      <c r="C15" s="3" t="s">
        <v>114</v>
      </c>
      <c r="D15" s="2" t="str" cm="1">
        <f t="array" ref="D15">IF(SUMPRODUCT(--EXACT(C15,Països_ok!$A$1:$A$47))&gt;0,"OK","Revisar")</f>
        <v>OK</v>
      </c>
      <c r="E15" s="14" t="s">
        <v>104</v>
      </c>
      <c r="F15" s="2" t="str" cm="1">
        <f t="array" ref="F15">IF(SUMPRODUCT(--EXACT(E15,Països_ok!$A$1:$A$47))&gt;0,"OK","Revisar")</f>
        <v>OK</v>
      </c>
      <c r="G15" s="10" t="s">
        <v>229</v>
      </c>
      <c r="H15" s="16"/>
    </row>
    <row r="16" spans="1:19" x14ac:dyDescent="0.25">
      <c r="A16" s="2" t="s">
        <v>235</v>
      </c>
      <c r="B16" s="2" t="s">
        <v>231</v>
      </c>
      <c r="C16" s="3" t="s">
        <v>102</v>
      </c>
      <c r="D16" s="2" t="str" cm="1">
        <f t="array" ref="D16">IF(SUMPRODUCT(--EXACT(C16,Països_ok!$A$1:$A$47))&gt;0,"OK","Revisar")</f>
        <v>OK</v>
      </c>
      <c r="E16" s="14" t="s">
        <v>112</v>
      </c>
      <c r="F16" s="2" t="str" cm="1">
        <f t="array" ref="F16">IF(SUMPRODUCT(--EXACT(E16,Països_ok!$A$1:$A$47))&gt;0,"OK","Revisar")</f>
        <v>OK</v>
      </c>
      <c r="G16" s="10" t="s">
        <v>229</v>
      </c>
      <c r="H16" s="16"/>
    </row>
    <row r="17" spans="1:8" x14ac:dyDescent="0.25">
      <c r="A17" s="2" t="s">
        <v>236</v>
      </c>
      <c r="B17" s="2" t="s">
        <v>228</v>
      </c>
      <c r="C17" s="3" t="s">
        <v>91</v>
      </c>
      <c r="D17" s="2" t="str" cm="1">
        <f t="array" ref="D17">IF(SUMPRODUCT(--EXACT(C17,Països_ok!$A$1:$A$47))&gt;0,"OK","Revisar")</f>
        <v>OK</v>
      </c>
      <c r="E17" s="14" t="s">
        <v>93</v>
      </c>
      <c r="F17" s="2" t="str" cm="1">
        <f t="array" ref="F17">IF(SUMPRODUCT(--EXACT(E17,Països_ok!$A$1:$A$47))&gt;0,"OK","Revisar")</f>
        <v>OK</v>
      </c>
      <c r="G17" s="10" t="s">
        <v>229</v>
      </c>
      <c r="H17" s="16"/>
    </row>
    <row r="18" spans="1:8" x14ac:dyDescent="0.25">
      <c r="A18" s="2" t="s">
        <v>236</v>
      </c>
      <c r="B18" s="2" t="s">
        <v>230</v>
      </c>
      <c r="C18" s="3" t="s">
        <v>115</v>
      </c>
      <c r="D18" s="2" t="str" cm="1">
        <f t="array" ref="D18">IF(SUMPRODUCT(--EXACT(C18,Països_ok!$A$1:$A$47))&gt;0,"OK","Revisar")</f>
        <v>OK</v>
      </c>
      <c r="E18" s="14" t="s">
        <v>89</v>
      </c>
      <c r="F18" s="2" t="str" cm="1">
        <f t="array" ref="F18">IF(SUMPRODUCT(--EXACT(E18,Països_ok!$A$1:$A$47))&gt;0,"OK","Revisar")</f>
        <v>OK</v>
      </c>
    </row>
    <row r="19" spans="1:8" x14ac:dyDescent="0.25">
      <c r="A19" s="2" t="s">
        <v>236</v>
      </c>
      <c r="B19" s="2" t="s">
        <v>231</v>
      </c>
      <c r="C19" s="3" t="s">
        <v>103</v>
      </c>
      <c r="D19" s="2" t="str" cm="1">
        <f t="array" ref="D19">IF(SUMPRODUCT(--EXACT(C19,Països_ok!$A$1:$A$47))&gt;0,"OK","Revisar")</f>
        <v>OK</v>
      </c>
      <c r="E19" s="14" t="s">
        <v>94</v>
      </c>
      <c r="F19" s="2" t="str" cm="1">
        <f t="array" ref="F19">IF(SUMPRODUCT(--EXACT(E19,Països_ok!$A$1:$A$47))&gt;0,"OK","Revisar")</f>
        <v>OK</v>
      </c>
    </row>
    <row r="20" spans="1:8" x14ac:dyDescent="0.25">
      <c r="A20" s="2" t="s">
        <v>237</v>
      </c>
      <c r="B20" s="2" t="s">
        <v>228</v>
      </c>
      <c r="C20" s="3" t="s">
        <v>104</v>
      </c>
      <c r="D20" s="2" t="str" cm="1">
        <f t="array" ref="D20">IF(SUMPRODUCT(--EXACT(C20,Països_ok!$A$1:$A$47))&gt;0,"OK","Revisar")</f>
        <v>OK</v>
      </c>
      <c r="E20" s="14" t="s">
        <v>121</v>
      </c>
      <c r="F20" s="2" t="str" cm="1">
        <f t="array" ref="F20">IF(SUMPRODUCT(--EXACT(E20,Països_ok!$A$1:$A$47))&gt;0,"OK","Revisar")</f>
        <v>OK</v>
      </c>
    </row>
    <row r="21" spans="1:8" x14ac:dyDescent="0.25">
      <c r="A21" s="2" t="s">
        <v>237</v>
      </c>
      <c r="B21" s="2" t="s">
        <v>230</v>
      </c>
      <c r="C21" s="3" t="s">
        <v>116</v>
      </c>
      <c r="D21" s="2" t="str" cm="1">
        <f t="array" ref="D21">IF(SUMPRODUCT(--EXACT(C21,Països_ok!$A$1:$A$47))&gt;0,"OK","Revisar")</f>
        <v>OK</v>
      </c>
      <c r="E21" s="14" t="s">
        <v>116</v>
      </c>
      <c r="F21" s="2" t="str" cm="1">
        <f t="array" ref="F21">IF(SUMPRODUCT(--EXACT(E21,Països_ok!$A$1:$A$47))&gt;0,"OK","Revisar")</f>
        <v>OK</v>
      </c>
    </row>
    <row r="22" spans="1:8" x14ac:dyDescent="0.25">
      <c r="A22" s="2" t="s">
        <v>237</v>
      </c>
      <c r="B22" s="2" t="s">
        <v>231</v>
      </c>
      <c r="C22" s="3" t="s">
        <v>92</v>
      </c>
      <c r="D22" s="2" t="str" cm="1">
        <f t="array" ref="D22">IF(SUMPRODUCT(--EXACT(C22,Països_ok!$A$1:$A$47))&gt;0,"OK","Revisar")</f>
        <v>OK</v>
      </c>
      <c r="E22" s="14" t="s">
        <v>115</v>
      </c>
      <c r="F22" s="2" t="str" cm="1">
        <f t="array" ref="F22">IF(SUMPRODUCT(--EXACT(E22,Països_ok!$A$1:$A$47))&gt;0,"OK","Revisar")</f>
        <v>OK</v>
      </c>
    </row>
    <row r="23" spans="1:8" x14ac:dyDescent="0.25">
      <c r="A23" s="2" t="s">
        <v>238</v>
      </c>
      <c r="B23" s="2" t="s">
        <v>228</v>
      </c>
      <c r="C23" s="3" t="s">
        <v>93</v>
      </c>
      <c r="D23" s="2" t="str" cm="1">
        <f t="array" ref="D23">IF(SUMPRODUCT(--EXACT(C23,Països_ok!$A$1:$A$47))&gt;0,"OK","Revisar")</f>
        <v>OK</v>
      </c>
      <c r="E23" s="14" t="s">
        <v>100</v>
      </c>
      <c r="F23" s="2" t="str" cm="1">
        <f t="array" ref="F23">IF(SUMPRODUCT(--EXACT(E23,Països_ok!$A$1:$A$47))&gt;0,"OK","Revisar")</f>
        <v>OK</v>
      </c>
    </row>
    <row r="24" spans="1:8" x14ac:dyDescent="0.25">
      <c r="A24" s="2" t="s">
        <v>238</v>
      </c>
      <c r="B24" s="2" t="s">
        <v>230</v>
      </c>
      <c r="C24" s="3" t="s">
        <v>105</v>
      </c>
      <c r="D24" s="2" t="str" cm="1">
        <f t="array" ref="D24">IF(SUMPRODUCT(--EXACT(C24,Països_ok!$A$1:$A$47))&gt;0,"OK","Revisar")</f>
        <v>OK</v>
      </c>
      <c r="E24" s="14" t="s">
        <v>86</v>
      </c>
      <c r="F24" s="2" t="str" cm="1">
        <f t="array" ref="F24">IF(SUMPRODUCT(--EXACT(E24,Països_ok!$A$1:$A$47))&gt;0,"OK","Revisar")</f>
        <v>OK</v>
      </c>
    </row>
    <row r="25" spans="1:8" x14ac:dyDescent="0.25">
      <c r="A25" s="2" t="s">
        <v>238</v>
      </c>
      <c r="B25" s="2" t="s">
        <v>231</v>
      </c>
      <c r="C25" s="3" t="s">
        <v>143</v>
      </c>
      <c r="D25" s="2" t="str" cm="1">
        <f t="array" ref="D25">IF(SUMPRODUCT(--EXACT(C25,Països_ok!$A$1:$A$47))&gt;0,"OK","Revisar")</f>
        <v>OK</v>
      </c>
      <c r="E25" s="14" t="s">
        <v>118</v>
      </c>
      <c r="F25" s="2" t="str" cm="1">
        <f t="array" ref="F25">IF(SUMPRODUCT(--EXACT(E25,Països_ok!$A$1:$A$47))&gt;0,"OK","Revisar")</f>
        <v>OK</v>
      </c>
    </row>
    <row r="26" spans="1:8" x14ac:dyDescent="0.25">
      <c r="A26" s="2" t="s">
        <v>239</v>
      </c>
      <c r="B26" s="2" t="s">
        <v>228</v>
      </c>
      <c r="C26" s="3" t="s">
        <v>118</v>
      </c>
      <c r="D26" s="2" t="str" cm="1">
        <f t="array" ref="D26">IF(SUMPRODUCT(--EXACT(C26,Països_ok!$A$1:$A$47))&gt;0,"OK","Revisar")</f>
        <v>OK</v>
      </c>
      <c r="E26" s="10" t="s">
        <v>91</v>
      </c>
      <c r="F26" s="2" t="str" cm="1">
        <f t="array" ref="F26">IF(SUMPRODUCT(--EXACT(E26,Països_ok!$A$1:$A$47))&gt;0,"OK","Revisar")</f>
        <v>OK</v>
      </c>
      <c r="G26" s="3"/>
      <c r="H26" s="16"/>
    </row>
    <row r="27" spans="1:8" x14ac:dyDescent="0.25">
      <c r="A27" s="2" t="s">
        <v>239</v>
      </c>
      <c r="B27" s="2" t="s">
        <v>230</v>
      </c>
      <c r="C27" s="3" t="s">
        <v>94</v>
      </c>
      <c r="D27" s="2" t="str" cm="1">
        <f t="array" ref="D27">IF(SUMPRODUCT(--EXACT(C27,Països_ok!$A$1:$A$47))&gt;0,"OK","Revisar")</f>
        <v>OK</v>
      </c>
      <c r="E27" s="10" t="s">
        <v>113</v>
      </c>
      <c r="F27" s="2" t="str" cm="1">
        <f t="array" ref="F27">IF(SUMPRODUCT(--EXACT(E27,Països_ok!$A$1:$A$47))&gt;0,"OK","Revisar")</f>
        <v>OK</v>
      </c>
    </row>
    <row r="28" spans="1:8" x14ac:dyDescent="0.25">
      <c r="A28" s="2" t="s">
        <v>239</v>
      </c>
      <c r="B28" s="2" t="s">
        <v>231</v>
      </c>
      <c r="C28" s="3" t="s">
        <v>106</v>
      </c>
      <c r="D28" s="2" t="str" cm="1">
        <f t="array" ref="D28">IF(SUMPRODUCT(--EXACT(C28,Països_ok!$A$1:$A$47))&gt;0,"OK","Revisar")</f>
        <v>OK</v>
      </c>
      <c r="E28" s="10" t="s">
        <v>96</v>
      </c>
      <c r="F28" s="2" t="str" cm="1">
        <f t="array" ref="F28">IF(SUMPRODUCT(--EXACT(E28,Països_ok!$A$1:$A$47))&gt;0,"OK","Revisar")</f>
        <v>OK</v>
      </c>
    </row>
    <row r="29" spans="1:8" x14ac:dyDescent="0.25">
      <c r="A29" s="2" t="s">
        <v>240</v>
      </c>
      <c r="B29" s="2" t="s">
        <v>228</v>
      </c>
      <c r="C29" s="3" t="s">
        <v>95</v>
      </c>
      <c r="D29" s="2" t="str" cm="1">
        <f t="array" ref="D29">IF(SUMPRODUCT(--EXACT(C29,Països_ok!$A$1:$A$47))&gt;0,"OK","Revisar")</f>
        <v>OK</v>
      </c>
      <c r="E29" s="10" t="s">
        <v>128</v>
      </c>
      <c r="F29" s="2" t="str" cm="1">
        <f t="array" ref="F29">IF(SUMPRODUCT(--EXACT(E29,Països_ok!$A$1:$A$47))&gt;0,"OK","Revisar")</f>
        <v>OK</v>
      </c>
    </row>
    <row r="30" spans="1:8" x14ac:dyDescent="0.25">
      <c r="A30" s="2" t="s">
        <v>240</v>
      </c>
      <c r="B30" s="2" t="s">
        <v>230</v>
      </c>
      <c r="C30" s="13" t="s">
        <v>107</v>
      </c>
      <c r="D30" s="2" t="str" cm="1">
        <f t="array" ref="D30">IF(SUMPRODUCT(--EXACT(C30,Països_ok!$A$1:$A$47))&gt;0,"OK","Revisar")</f>
        <v>OK</v>
      </c>
      <c r="E30" s="10" t="s">
        <v>103</v>
      </c>
      <c r="F30" s="2" t="str" cm="1">
        <f t="array" ref="F30">IF(SUMPRODUCT(--EXACT(E30,Països_ok!$A$1:$A$47))&gt;0,"OK","Revisar")</f>
        <v>OK</v>
      </c>
    </row>
    <row r="31" spans="1:8" x14ac:dyDescent="0.25">
      <c r="A31" s="2" t="s">
        <v>240</v>
      </c>
      <c r="B31" s="2" t="s">
        <v>231</v>
      </c>
      <c r="C31" s="13" t="s">
        <v>144</v>
      </c>
      <c r="D31" s="2" t="str" cm="1">
        <f t="array" ref="D31">IF(SUMPRODUCT(--EXACT(C31,Països_ok!$A$1:$A$47))&gt;0,"OK","Revisar")</f>
        <v>OK</v>
      </c>
      <c r="E31" s="10" t="s">
        <v>87</v>
      </c>
      <c r="F31" s="2" t="str" cm="1">
        <f t="array" ref="F31">IF(SUMPRODUCT(--EXACT(E31,Països_ok!$A$1:$A$47))&gt;0,"OK","Revisar")</f>
        <v>OK</v>
      </c>
    </row>
    <row r="32" spans="1:8" x14ac:dyDescent="0.25">
      <c r="A32" s="2" t="s">
        <v>241</v>
      </c>
      <c r="B32" s="2" t="s">
        <v>228</v>
      </c>
      <c r="C32" s="3" t="s">
        <v>108</v>
      </c>
      <c r="D32" s="2" t="str" cm="1">
        <f t="array" ref="D32">IF(SUMPRODUCT(--EXACT(C32,Països_ok!$A$1:$A$47))&gt;0,"OK","Revisar")</f>
        <v>OK</v>
      </c>
      <c r="E32" s="10" t="s">
        <v>110</v>
      </c>
      <c r="F32" s="2" t="str" cm="1">
        <f t="array" ref="F32">IF(SUMPRODUCT(--EXACT(E32,Països_ok!$A$1:$A$47))&gt;0,"OK","Revisar")</f>
        <v>OK</v>
      </c>
    </row>
    <row r="33" spans="1:6" x14ac:dyDescent="0.25">
      <c r="A33" s="2" t="s">
        <v>241</v>
      </c>
      <c r="B33" s="2" t="s">
        <v>230</v>
      </c>
      <c r="C33" s="3" t="s">
        <v>128</v>
      </c>
      <c r="D33" s="2" t="str" cm="1">
        <f t="array" ref="D33">IF(SUMPRODUCT(--EXACT(C33,Països_ok!$A$1:$A$47))&gt;0,"OK","Revisar")</f>
        <v>OK</v>
      </c>
      <c r="E33" s="10" t="s">
        <v>105</v>
      </c>
      <c r="F33" s="2" t="str" cm="1">
        <f t="array" ref="F33">IF(SUMPRODUCT(--EXACT(E33,Països_ok!$A$1:$A$47))&gt;0,"OK","Revisar")</f>
        <v>OK</v>
      </c>
    </row>
    <row r="34" spans="1:6" x14ac:dyDescent="0.25">
      <c r="A34" s="2" t="s">
        <v>241</v>
      </c>
      <c r="B34" s="2" t="s">
        <v>231</v>
      </c>
      <c r="C34" s="3" t="s">
        <v>96</v>
      </c>
      <c r="D34" s="2" t="str" cm="1">
        <f t="array" ref="D34">IF(SUMPRODUCT(--EXACT(C34,Països_ok!$A$1:$A$47))&gt;0,"OK","Revisar")</f>
        <v>OK</v>
      </c>
      <c r="F34" s="2"/>
    </row>
    <row r="35" spans="1:6" x14ac:dyDescent="0.25">
      <c r="A35" s="2" t="s">
        <v>242</v>
      </c>
      <c r="B35" s="2" t="s">
        <v>228</v>
      </c>
      <c r="C35" s="3" t="s">
        <v>97</v>
      </c>
      <c r="D35" s="2" t="str" cm="1">
        <f t="array" ref="D35">IF(SUMPRODUCT(--EXACT(C35,Països_ok!$A$1:$A$47))&gt;0,"OK","Revisar")</f>
        <v>OK</v>
      </c>
      <c r="F35" s="2"/>
    </row>
    <row r="36" spans="1:6" x14ac:dyDescent="0.25">
      <c r="A36" s="2" t="s">
        <v>242</v>
      </c>
      <c r="B36" s="2" t="s">
        <v>230</v>
      </c>
      <c r="C36" s="3" t="s">
        <v>109</v>
      </c>
      <c r="D36" s="2" t="str" cm="1">
        <f t="array" ref="D36">IF(SUMPRODUCT(--EXACT(C36,Països_ok!$A$1:$A$47))&gt;0,"OK","Revisar")</f>
        <v>OK</v>
      </c>
      <c r="F36" s="2"/>
    </row>
    <row r="37" spans="1:6" x14ac:dyDescent="0.25">
      <c r="A37" s="2" t="s">
        <v>242</v>
      </c>
      <c r="B37" s="2" t="s">
        <v>231</v>
      </c>
      <c r="C37" s="3" t="s">
        <v>121</v>
      </c>
      <c r="D37" s="2" t="str" cm="1">
        <f t="array" ref="D37">IF(SUMPRODUCT(--EXACT(C37,Països_ok!$A$1:$A$47))&gt;0,"OK","Revisar")</f>
        <v>OK</v>
      </c>
      <c r="F37" s="2"/>
    </row>
  </sheetData>
  <autoFilter ref="R1:S14" xr:uid="{00000000-0001-0000-0000-000000000000}">
    <sortState xmlns:xlrd2="http://schemas.microsoft.com/office/spreadsheetml/2017/richdata2" ref="R2:S14">
      <sortCondition descending="1" ref="S1:S14"/>
    </sortState>
  </autoFilter>
  <dataValidations count="6">
    <dataValidation type="list" allowBlank="1" showInputMessage="1" showErrorMessage="1" sqref="E2:E33" xr:uid="{E4A41900-CC37-48F7-B004-B74485AD8A27}">
      <formula1>$C$2:$C$37</formula1>
    </dataValidation>
    <dataValidation type="list" allowBlank="1" showInputMessage="1" showErrorMessage="1" sqref="G2:G17 H10:H17" xr:uid="{D2957299-AA86-4AAC-BC70-7E025FFACDDE}">
      <formula1>$E$2:$E$33</formula1>
    </dataValidation>
    <dataValidation type="list" allowBlank="1" showInputMessage="1" showErrorMessage="1" sqref="I2:I9 J6:J9" xr:uid="{AA5AA722-50BA-410B-82F7-991D269DC6F9}">
      <formula1>$G$2:$G$17</formula1>
    </dataValidation>
    <dataValidation type="list" allowBlank="1" showInputMessage="1" showErrorMessage="1" sqref="K2:K5 L4:L5" xr:uid="{17203C8A-B2E7-44D3-841C-07C49EEA4C15}">
      <formula1>$I$2:$I$9</formula1>
    </dataValidation>
    <dataValidation type="list" allowBlank="1" showInputMessage="1" showErrorMessage="1" sqref="M2:M3" xr:uid="{F97D354B-0CFA-40AB-AC95-3381B40D6483}">
      <formula1>$K$2:$K$5</formula1>
    </dataValidation>
    <dataValidation type="list" allowBlank="1" showInputMessage="1" showErrorMessage="1" sqref="N2" xr:uid="{F67376F6-AFA2-466D-BFF5-DCCAE0FB3ECB}">
      <formula1>$M$2:$M$3</formula1>
    </dataValidation>
  </dataValidations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opLeftCell="BP1" zoomScale="115" zoomScaleNormal="115" workbookViewId="0">
      <selection activeCell="BJ8" sqref="A8:XFD8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84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103</v>
      </c>
      <c r="U2" t="s">
        <v>104</v>
      </c>
      <c r="V2" t="s">
        <v>105</v>
      </c>
      <c r="W2" t="s">
        <v>106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115</v>
      </c>
      <c r="AG2" t="s">
        <v>116</v>
      </c>
      <c r="AH2" t="s">
        <v>117</v>
      </c>
      <c r="AI2" t="s">
        <v>118</v>
      </c>
      <c r="AJ2" t="s">
        <v>119</v>
      </c>
      <c r="AK2" t="s">
        <v>120</v>
      </c>
      <c r="AL2" t="s">
        <v>121</v>
      </c>
      <c r="AM2" t="s">
        <v>99</v>
      </c>
      <c r="AN2" t="s">
        <v>88</v>
      </c>
      <c r="AO2" t="s">
        <v>90</v>
      </c>
      <c r="AP2" t="s">
        <v>91</v>
      </c>
      <c r="AQ2" t="s">
        <v>102</v>
      </c>
      <c r="AR2" t="s">
        <v>94</v>
      </c>
      <c r="AS2" t="s">
        <v>86</v>
      </c>
      <c r="AT2" t="s">
        <v>97</v>
      </c>
      <c r="AU2" t="s">
        <v>92</v>
      </c>
      <c r="AV2" t="s">
        <v>89</v>
      </c>
      <c r="AW2" t="s">
        <v>93</v>
      </c>
      <c r="AX2" t="s">
        <v>109</v>
      </c>
      <c r="AY2" t="s">
        <v>87</v>
      </c>
      <c r="AZ2" t="s">
        <v>101</v>
      </c>
      <c r="BA2" t="s">
        <v>95</v>
      </c>
      <c r="BB2" t="s">
        <v>96</v>
      </c>
      <c r="BC2" t="s">
        <v>88</v>
      </c>
      <c r="BD2" t="s">
        <v>90</v>
      </c>
      <c r="BE2" t="s">
        <v>94</v>
      </c>
      <c r="BF2" t="s">
        <v>97</v>
      </c>
      <c r="BG2" t="s">
        <v>92</v>
      </c>
      <c r="BH2" t="s">
        <v>93</v>
      </c>
      <c r="BI2" t="s">
        <v>87</v>
      </c>
      <c r="BJ2" t="s">
        <v>95</v>
      </c>
      <c r="BK2" t="s">
        <v>90</v>
      </c>
      <c r="BL2" t="s">
        <v>97</v>
      </c>
      <c r="BM2" t="s">
        <v>93</v>
      </c>
      <c r="BN2" t="s">
        <v>95</v>
      </c>
      <c r="BO2" t="s">
        <v>97</v>
      </c>
      <c r="BP2" t="s">
        <v>93</v>
      </c>
      <c r="BQ2" t="s">
        <v>93</v>
      </c>
      <c r="BS2" t="s">
        <v>122</v>
      </c>
      <c r="BT2" t="s">
        <v>123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20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14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12</v>
      </c>
      <c r="BX2">
        <f>IF(COUNTIF('Resultats Reals'!$G$2:$G$17,AM2)&gt;0,1,0)+IF(COUNTIF('Resultats Reals'!$G$2:$G$17,AN2)&gt;0,1,0)+IF(COUNTIF('Resultats Reals'!$G$2:$G$17,AO2)&gt;0,1,0)+IF(COUNTIF('Resultats Reals'!$G$2:$G$17,AP2)&gt;0,1,0)+IF(COUNTIF('Resultats Reals'!$G$2:$G$17,AQ2)&gt;0,1,0)+IF(COUNTIF('Resultats Reals'!$G$2:$G$17,AR2)&gt;0,1,0)+IF(COUNTIF('Resultats Reals'!$G$2:$G$17,AS2)&gt;0,1,0)+IF(COUNTIF('Resultats Reals'!$G$2:$G$17,AT2)&gt;0,1,0)+IF(COUNTIF('Resultats Reals'!$G$2:$G$17,AU2)&gt;0,1,0)+IF(COUNTIF('Resultats Reals'!$G$2:$G$17,AV2)&gt;0,1,0)+IF(COUNTIF('Resultats Reals'!$G$2:$G$17,AW2)&gt;0,1,0)+IF(COUNTIF('Resultats Reals'!$G$2:$G$17,AX2)&gt;0,1,0)+IF(COUNTIF('Resultats Reals'!$G$2:$G$17,AY2)&gt;0,1,0)+IF(COUNTIF('Resultats Reals'!$G$2:$G$17,AZ2)&gt;0,1,0)+IF(COUNTIF('Resultats Reals'!$G$2:$G$17,BA2)&gt;0,1,0)+IF(COUNTIF('Resultats Reals'!$G$2:$G$17,BB2)&gt;0,1,0)</f>
        <v>0</v>
      </c>
      <c r="BY2">
        <f>IF(COUNTIF('Resultats Reals'!$I$2:$I$9,BC2)&gt;0,1,0)+IF(COUNTIF('Resultats Reals'!$I$2:$I$9,BD2)&gt;0,1,0)+IF(COUNTIF('Resultats Reals'!$I$2:$I$9,BE2)&gt;0,1,0)+IF(COUNTIF('Resultats Reals'!$I$2:$I$9,BF2)&gt;0,1,0)+IF(COUNTIF('Resultats Reals'!$I$2:$I$9,BG2)&gt;0,1,0)+IF(COUNTIF('Resultats Reals'!$I$2:$I$9,BH2)&gt;0,1,0)+IF(COUNTIF('Resultats Reals'!$I$2:$I$9,BI2)&gt;0,1,0)+IF(COUNTIF('Resultats Reals'!$I$2:$I$9,BJ2)&gt;0,1,0)</f>
        <v>0</v>
      </c>
      <c r="BZ2">
        <f>IF(COUNTIF('Resultats Reals'!$K$2:$K$5,BK2)&gt;0,1,0)+IF(COUNTIF('Resultats Reals'!$K$2:$K$5,BL2)&gt;0,1,0)+IF(COUNTIF('Resultats Reals'!$K$2:$K$5,BM2)&gt;0,1,0)+IF(COUNTIF('Resultats Reals'!$K$2:$K$5,BN2)&gt;0,1,0)</f>
        <v>0</v>
      </c>
      <c r="CA2">
        <f>IF(COUNTIF('Resultats Reals'!$M$2:$M$3,BO2)&gt;0,3,0)+IF(COUNTIF('Resultats Reals'!$M$2:$M$3,BP2)&gt;0,3,0)</f>
        <v>0</v>
      </c>
      <c r="CB2">
        <f>IF(BQ2='Resultats Reals'!$N$2,5,0)</f>
        <v>0</v>
      </c>
      <c r="CC2">
        <f>IF(BS2='Resultats Reals'!$O$2,5,0)</f>
        <v>0</v>
      </c>
      <c r="CD2">
        <f>IFERROR(VLOOKUP(BT2,'Resultats Reals'!$R$2:$S$100,2,FALSE),0)</f>
        <v>2</v>
      </c>
      <c r="CE2">
        <f>IF(BR2='Resultats Reals'!$P$2,5,0)</f>
        <v>0</v>
      </c>
      <c r="CF2" s="7">
        <f t="shared" ref="CF2:CF49" si="0">SUM(BU2:CE2)</f>
        <v>48</v>
      </c>
    </row>
    <row r="3" spans="1:84" x14ac:dyDescent="0.25">
      <c r="A3" t="s">
        <v>124</v>
      </c>
      <c r="B3" t="s">
        <v>125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110</v>
      </c>
      <c r="P3" t="s">
        <v>99</v>
      </c>
      <c r="Q3" t="s">
        <v>100</v>
      </c>
      <c r="R3" t="s">
        <v>101</v>
      </c>
      <c r="S3" t="s">
        <v>102</v>
      </c>
      <c r="T3" t="s">
        <v>115</v>
      </c>
      <c r="U3" t="s">
        <v>116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98</v>
      </c>
      <c r="AB3" t="s">
        <v>126</v>
      </c>
      <c r="AC3" t="s">
        <v>112</v>
      </c>
      <c r="AD3" t="s">
        <v>127</v>
      </c>
      <c r="AE3" t="s">
        <v>114</v>
      </c>
      <c r="AF3" t="s">
        <v>103</v>
      </c>
      <c r="AG3" t="s">
        <v>104</v>
      </c>
      <c r="AH3" t="s">
        <v>117</v>
      </c>
      <c r="AI3" t="s">
        <v>106</v>
      </c>
      <c r="AJ3" t="s">
        <v>119</v>
      </c>
      <c r="AK3" t="s">
        <v>128</v>
      </c>
      <c r="AL3" t="s">
        <v>121</v>
      </c>
      <c r="AM3" t="s">
        <v>86</v>
      </c>
      <c r="AN3" t="s">
        <v>87</v>
      </c>
      <c r="AO3" t="s">
        <v>88</v>
      </c>
      <c r="AP3" t="s">
        <v>89</v>
      </c>
      <c r="AQ3" t="s">
        <v>90</v>
      </c>
      <c r="AR3" t="s">
        <v>91</v>
      </c>
      <c r="AS3" t="s">
        <v>92</v>
      </c>
      <c r="AT3" t="s">
        <v>93</v>
      </c>
      <c r="AU3" t="s">
        <v>94</v>
      </c>
      <c r="AV3" t="s">
        <v>95</v>
      </c>
      <c r="AW3" t="s">
        <v>96</v>
      </c>
      <c r="AX3" t="s">
        <v>97</v>
      </c>
      <c r="AY3" t="s">
        <v>105</v>
      </c>
      <c r="AZ3" t="s">
        <v>109</v>
      </c>
      <c r="BA3" t="s">
        <v>108</v>
      </c>
      <c r="BB3" t="s">
        <v>100</v>
      </c>
      <c r="BC3" t="s">
        <v>88</v>
      </c>
      <c r="BD3" t="s">
        <v>89</v>
      </c>
      <c r="BE3" t="s">
        <v>90</v>
      </c>
      <c r="BF3" t="s">
        <v>91</v>
      </c>
      <c r="BG3" t="s">
        <v>97</v>
      </c>
      <c r="BH3" t="s">
        <v>93</v>
      </c>
      <c r="BI3" t="s">
        <v>94</v>
      </c>
      <c r="BJ3" t="s">
        <v>95</v>
      </c>
      <c r="BK3" t="s">
        <v>93</v>
      </c>
      <c r="BL3" t="s">
        <v>94</v>
      </c>
      <c r="BM3" t="s">
        <v>97</v>
      </c>
      <c r="BN3" t="s">
        <v>88</v>
      </c>
      <c r="BO3" t="s">
        <v>93</v>
      </c>
      <c r="BP3" t="s">
        <v>94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20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11.5</v>
      </c>
      <c r="BX3">
        <f>IF(COUNTIF('Resultats Reals'!$G$2:$G$17,AM3)&gt;0,1,0)+IF(COUNTIF('Resultats Reals'!$G$2:$G$17,AN3)&gt;0,1,0)+IF(COUNTIF('Resultats Reals'!$G$2:$G$17,AO3)&gt;0,1,0)+IF(COUNTIF('Resultats Reals'!$G$2:$G$17,AP3)&gt;0,1,0)+IF(COUNTIF('Resultats Reals'!$G$2:$G$17,AQ3)&gt;0,1,0)+IF(COUNTIF('Resultats Reals'!$G$2:$G$17,AR3)&gt;0,1,0)+IF(COUNTIF('Resultats Reals'!$G$2:$G$17,AS3)&gt;0,1,0)+IF(COUNTIF('Resultats Reals'!$G$2:$G$17,AT3)&gt;0,1,0)+IF(COUNTIF('Resultats Reals'!$G$2:$G$17,AU3)&gt;0,1,0)+IF(COUNTIF('Resultats Reals'!$G$2:$G$17,AV3)&gt;0,1,0)+IF(COUNTIF('Resultats Reals'!$G$2:$G$17,AW3)&gt;0,1,0)+IF(COUNTIF('Resultats Reals'!$G$2:$G$17,AX3)&gt;0,1,0)+IF(COUNTIF('Resultats Reals'!$G$2:$G$17,AY3)&gt;0,1,0)+IF(COUNTIF('Resultats Reals'!$G$2:$G$17,AZ3)&gt;0,1,0)+IF(COUNTIF('Resultats Reals'!$G$2:$G$17,BA3)&gt;0,1,0)+IF(COUNTIF('Resultats Reals'!$G$2:$G$17,BB3)&gt;0,1,0)</f>
        <v>0</v>
      </c>
      <c r="BY3">
        <f>IF(COUNTIF('Resultats Reals'!$I$2:$I$9,BC3)&gt;0,1,0)+IF(COUNTIF('Resultats Reals'!$I$2:$I$9,BD3)&gt;0,1,0)+IF(COUNTIF('Resultats Reals'!$I$2:$I$9,BE3)&gt;0,1,0)+IF(COUNTIF('Resultats Reals'!$I$2:$I$9,BF3)&gt;0,1,0)+IF(COUNTIF('Resultats Reals'!$I$2:$I$9,BG3)&gt;0,1,0)+IF(COUNTIF('Resultats Reals'!$I$2:$I$9,BH3)&gt;0,1,0)+IF(COUNTIF('Resultats Reals'!$I$2:$I$9,BI3)&gt;0,1,0)+IF(COUNTIF('Resultats Reals'!$I$2:$I$9,BJ3)&gt;0,1,0)</f>
        <v>0</v>
      </c>
      <c r="BZ3">
        <f>IF(COUNTIF('Resultats Reals'!$K$2:$K$5,BK3)&gt;0,1,0)+IF(COUNTIF('Resultats Reals'!$K$2:$K$5,BL3)&gt;0,1,0)+IF(COUNTIF('Resultats Reals'!$K$2:$K$5,BM3)&gt;0,1,0)+IF(COUNTIF('Resultats Reals'!$K$2:$K$5,BN3)&gt;0,1,0)</f>
        <v>0</v>
      </c>
      <c r="CA3">
        <f>IF(COUNTIF('Resultats Reals'!$M$2:$M$3,BO3)&gt;0,3,0)+IF(COUNTIF('Resultats Reals'!$M$2:$M$3,BP3)&gt;0,3,0)</f>
        <v>0</v>
      </c>
      <c r="CB3">
        <f>IF(BQ3='Resultats Reals'!$N$2,5,0)</f>
        <v>0</v>
      </c>
      <c r="CC3">
        <f>IF(BS3='Resultats Reals'!$O$2,5,0)</f>
        <v>0</v>
      </c>
      <c r="CD3">
        <f>IFERROR(VLOOKUP(BT3,'Resultats Reals'!$R$2:$S$100,2,FALSE),0)</f>
        <v>2</v>
      </c>
      <c r="CE3">
        <f>IF(BR3='Resultats Reals'!$P$2,5,0)</f>
        <v>0</v>
      </c>
      <c r="CF3" s="7">
        <f t="shared" si="0"/>
        <v>49.5</v>
      </c>
    </row>
    <row r="4" spans="1:84" x14ac:dyDescent="0.25">
      <c r="A4" t="s">
        <v>130</v>
      </c>
      <c r="B4" t="s">
        <v>85</v>
      </c>
      <c r="C4" t="s">
        <v>86</v>
      </c>
      <c r="D4" t="s">
        <v>87</v>
      </c>
      <c r="E4" t="s">
        <v>88</v>
      </c>
      <c r="F4" t="s">
        <v>89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96</v>
      </c>
      <c r="N4" t="s">
        <v>97</v>
      </c>
      <c r="O4" t="s">
        <v>98</v>
      </c>
      <c r="P4" t="s">
        <v>99</v>
      </c>
      <c r="Q4" t="s">
        <v>100</v>
      </c>
      <c r="R4" t="s">
        <v>101</v>
      </c>
      <c r="S4" t="s">
        <v>102</v>
      </c>
      <c r="T4" t="s">
        <v>115</v>
      </c>
      <c r="U4" t="s">
        <v>104</v>
      </c>
      <c r="V4" t="s">
        <v>105</v>
      </c>
      <c r="W4" t="s">
        <v>106</v>
      </c>
      <c r="X4" t="s">
        <v>107</v>
      </c>
      <c r="Y4" t="s">
        <v>108</v>
      </c>
      <c r="Z4" t="s">
        <v>109</v>
      </c>
      <c r="AA4" t="s">
        <v>131</v>
      </c>
      <c r="AB4" t="s">
        <v>126</v>
      </c>
      <c r="AC4" t="s">
        <v>112</v>
      </c>
      <c r="AD4" t="s">
        <v>127</v>
      </c>
      <c r="AE4" t="s">
        <v>114</v>
      </c>
      <c r="AF4" t="s">
        <v>132</v>
      </c>
      <c r="AG4" t="s">
        <v>116</v>
      </c>
      <c r="AH4" t="s">
        <v>117</v>
      </c>
      <c r="AI4" t="s">
        <v>118</v>
      </c>
      <c r="AJ4" t="s">
        <v>119</v>
      </c>
      <c r="AK4" t="s">
        <v>120</v>
      </c>
      <c r="AL4" t="s">
        <v>121</v>
      </c>
      <c r="AM4" t="s">
        <v>99</v>
      </c>
      <c r="AN4" t="s">
        <v>88</v>
      </c>
      <c r="AO4" t="s">
        <v>90</v>
      </c>
      <c r="AP4" t="s">
        <v>91</v>
      </c>
      <c r="AQ4" t="s">
        <v>102</v>
      </c>
      <c r="AR4" t="s">
        <v>94</v>
      </c>
      <c r="AS4" t="s">
        <v>86</v>
      </c>
      <c r="AT4" t="s">
        <v>97</v>
      </c>
      <c r="AU4" t="s">
        <v>92</v>
      </c>
      <c r="AV4" t="s">
        <v>89</v>
      </c>
      <c r="AW4" t="s">
        <v>93</v>
      </c>
      <c r="AX4" t="s">
        <v>109</v>
      </c>
      <c r="AY4" t="s">
        <v>87</v>
      </c>
      <c r="AZ4" t="s">
        <v>101</v>
      </c>
      <c r="BA4" t="s">
        <v>95</v>
      </c>
      <c r="BB4" t="s">
        <v>96</v>
      </c>
      <c r="BC4" t="s">
        <v>88</v>
      </c>
      <c r="BD4" t="s">
        <v>91</v>
      </c>
      <c r="BE4" t="s">
        <v>94</v>
      </c>
      <c r="BF4" t="s">
        <v>97</v>
      </c>
      <c r="BG4" t="s">
        <v>89</v>
      </c>
      <c r="BH4" t="s">
        <v>93</v>
      </c>
      <c r="BI4" t="s">
        <v>101</v>
      </c>
      <c r="BJ4" t="s">
        <v>96</v>
      </c>
      <c r="BK4" t="s">
        <v>91</v>
      </c>
      <c r="BL4" t="s">
        <v>97</v>
      </c>
      <c r="BM4" t="s">
        <v>93</v>
      </c>
      <c r="BN4" t="s">
        <v>96</v>
      </c>
      <c r="BO4" t="s">
        <v>93</v>
      </c>
      <c r="BP4" t="s">
        <v>97</v>
      </c>
      <c r="BQ4" t="s">
        <v>93</v>
      </c>
      <c r="BS4" t="s">
        <v>133</v>
      </c>
      <c r="BT4" t="s">
        <v>134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20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15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8</v>
      </c>
      <c r="BX4">
        <f>IF(COUNTIF('Resultats Reals'!$G$2:$G$17,AM4)&gt;0,1,0)+IF(COUNTIF('Resultats Reals'!$G$2:$G$17,AN4)&gt;0,1,0)+IF(COUNTIF('Resultats Reals'!$G$2:$G$17,AO4)&gt;0,1,0)+IF(COUNTIF('Resultats Reals'!$G$2:$G$17,AP4)&gt;0,1,0)+IF(COUNTIF('Resultats Reals'!$G$2:$G$17,AQ4)&gt;0,1,0)+IF(COUNTIF('Resultats Reals'!$G$2:$G$17,AR4)&gt;0,1,0)+IF(COUNTIF('Resultats Reals'!$G$2:$G$17,AS4)&gt;0,1,0)+IF(COUNTIF('Resultats Reals'!$G$2:$G$17,AT4)&gt;0,1,0)+IF(COUNTIF('Resultats Reals'!$G$2:$G$17,AU4)&gt;0,1,0)+IF(COUNTIF('Resultats Reals'!$G$2:$G$17,AV4)&gt;0,1,0)+IF(COUNTIF('Resultats Reals'!$G$2:$G$17,AW4)&gt;0,1,0)+IF(COUNTIF('Resultats Reals'!$G$2:$G$17,AX4)&gt;0,1,0)+IF(COUNTIF('Resultats Reals'!$G$2:$G$17,AY4)&gt;0,1,0)+IF(COUNTIF('Resultats Reals'!$G$2:$G$17,AZ4)&gt;0,1,0)+IF(COUNTIF('Resultats Reals'!$G$2:$G$17,BA4)&gt;0,1,0)+IF(COUNTIF('Resultats Reals'!$G$2:$G$17,BB4)&gt;0,1,0)</f>
        <v>0</v>
      </c>
      <c r="BY4">
        <f>IF(COUNTIF('Resultats Reals'!$I$2:$I$9,BC4)&gt;0,1,0)+IF(COUNTIF('Resultats Reals'!$I$2:$I$9,BD4)&gt;0,1,0)+IF(COUNTIF('Resultats Reals'!$I$2:$I$9,BE4)&gt;0,1,0)+IF(COUNTIF('Resultats Reals'!$I$2:$I$9,BF4)&gt;0,1,0)+IF(COUNTIF('Resultats Reals'!$I$2:$I$9,BG4)&gt;0,1,0)+IF(COUNTIF('Resultats Reals'!$I$2:$I$9,BH4)&gt;0,1,0)+IF(COUNTIF('Resultats Reals'!$I$2:$I$9,BI4)&gt;0,1,0)+IF(COUNTIF('Resultats Reals'!$I$2:$I$9,BJ4)&gt;0,1,0)</f>
        <v>0</v>
      </c>
      <c r="BZ4">
        <f>IF(COUNTIF('Resultats Reals'!$K$2:$K$5,BK4)&gt;0,1,0)+IF(COUNTIF('Resultats Reals'!$K$2:$K$5,BL4)&gt;0,1,0)+IF(COUNTIF('Resultats Reals'!$K$2:$K$5,BM4)&gt;0,1,0)+IF(COUNTIF('Resultats Reals'!$K$2:$K$5,BN4)&gt;0,1,0)</f>
        <v>0</v>
      </c>
      <c r="CA4">
        <f>IF(COUNTIF('Resultats Reals'!$M$2:$M$3,BO4)&gt;0,3,0)+IF(COUNTIF('Resultats Reals'!$M$2:$M$3,BP4)&gt;0,3,0)</f>
        <v>0</v>
      </c>
      <c r="CB4">
        <f>IF(BQ4='Resultats Reals'!$N$2,5,0)</f>
        <v>0</v>
      </c>
      <c r="CC4">
        <f>IF(BS4='Resultats Reals'!$O$2,5,0)</f>
        <v>0</v>
      </c>
      <c r="CD4">
        <f>IFERROR(VLOOKUP(BT4,'Resultats Reals'!$R$2:$S$100,2,FALSE),0)</f>
        <v>0</v>
      </c>
      <c r="CE4">
        <f>IF(BR4='Resultats Reals'!$P$2,5,0)</f>
        <v>0</v>
      </c>
      <c r="CF4" s="7">
        <f t="shared" si="0"/>
        <v>43</v>
      </c>
    </row>
    <row r="5" spans="1:84" x14ac:dyDescent="0.25">
      <c r="A5" t="s">
        <v>135</v>
      </c>
      <c r="B5" t="s">
        <v>136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104</v>
      </c>
      <c r="V5" t="s">
        <v>105</v>
      </c>
      <c r="W5" t="s">
        <v>118</v>
      </c>
      <c r="X5" t="s">
        <v>107</v>
      </c>
      <c r="Y5" t="s">
        <v>108</v>
      </c>
      <c r="Z5" t="s">
        <v>109</v>
      </c>
      <c r="AA5" t="s">
        <v>110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116</v>
      </c>
      <c r="AH5" t="s">
        <v>117</v>
      </c>
      <c r="AI5" t="s">
        <v>106</v>
      </c>
      <c r="AJ5" t="s">
        <v>119</v>
      </c>
      <c r="AK5" t="s">
        <v>120</v>
      </c>
      <c r="AL5" t="s">
        <v>121</v>
      </c>
      <c r="AM5" t="s">
        <v>94</v>
      </c>
      <c r="AN5" t="s">
        <v>95</v>
      </c>
      <c r="AO5" t="s">
        <v>88</v>
      </c>
      <c r="AP5" t="s">
        <v>97</v>
      </c>
      <c r="AQ5" t="s">
        <v>93</v>
      </c>
      <c r="AR5" t="s">
        <v>90</v>
      </c>
      <c r="AS5" t="s">
        <v>96</v>
      </c>
      <c r="AT5" t="s">
        <v>91</v>
      </c>
      <c r="AU5" t="s">
        <v>89</v>
      </c>
      <c r="AV5" t="s">
        <v>86</v>
      </c>
      <c r="AW5" t="s">
        <v>105</v>
      </c>
      <c r="AX5" t="s">
        <v>100</v>
      </c>
      <c r="AY5" t="s">
        <v>109</v>
      </c>
      <c r="AZ5" t="s">
        <v>115</v>
      </c>
      <c r="BA5" t="s">
        <v>108</v>
      </c>
      <c r="BB5" t="s">
        <v>87</v>
      </c>
      <c r="BC5" t="s">
        <v>94</v>
      </c>
      <c r="BD5" t="s">
        <v>95</v>
      </c>
      <c r="BE5" t="s">
        <v>88</v>
      </c>
      <c r="BF5" t="s">
        <v>97</v>
      </c>
      <c r="BG5" t="s">
        <v>93</v>
      </c>
      <c r="BH5" t="s">
        <v>90</v>
      </c>
      <c r="BI5" t="s">
        <v>96</v>
      </c>
      <c r="BJ5" t="s">
        <v>91</v>
      </c>
      <c r="BK5" t="s">
        <v>94</v>
      </c>
      <c r="BL5" t="s">
        <v>95</v>
      </c>
      <c r="BM5" t="s">
        <v>93</v>
      </c>
      <c r="BN5" t="s">
        <v>88</v>
      </c>
      <c r="BO5" t="s">
        <v>94</v>
      </c>
      <c r="BP5" t="s">
        <v>93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21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19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11</v>
      </c>
      <c r="BX5">
        <f>IF(COUNTIF('Resultats Reals'!$G$2:$G$17,AM5)&gt;0,1,0)+IF(COUNTIF('Resultats Reals'!$G$2:$G$17,AN5)&gt;0,1,0)+IF(COUNTIF('Resultats Reals'!$G$2:$G$17,AO5)&gt;0,1,0)+IF(COUNTIF('Resultats Reals'!$G$2:$G$17,AP5)&gt;0,1,0)+IF(COUNTIF('Resultats Reals'!$G$2:$G$17,AQ5)&gt;0,1,0)+IF(COUNTIF('Resultats Reals'!$G$2:$G$17,AR5)&gt;0,1,0)+IF(COUNTIF('Resultats Reals'!$G$2:$G$17,AS5)&gt;0,1,0)+IF(COUNTIF('Resultats Reals'!$G$2:$G$17,AT5)&gt;0,1,0)+IF(COUNTIF('Resultats Reals'!$G$2:$G$17,AU5)&gt;0,1,0)+IF(COUNTIF('Resultats Reals'!$G$2:$G$17,AV5)&gt;0,1,0)+IF(COUNTIF('Resultats Reals'!$G$2:$G$17,AW5)&gt;0,1,0)+IF(COUNTIF('Resultats Reals'!$G$2:$G$17,AX5)&gt;0,1,0)+IF(COUNTIF('Resultats Reals'!$G$2:$G$17,AY5)&gt;0,1,0)+IF(COUNTIF('Resultats Reals'!$G$2:$G$17,AZ5)&gt;0,1,0)+IF(COUNTIF('Resultats Reals'!$G$2:$G$17,BA5)&gt;0,1,0)+IF(COUNTIF('Resultats Reals'!$G$2:$G$17,BB5)&gt;0,1,0)</f>
        <v>0</v>
      </c>
      <c r="BY5">
        <f>IF(COUNTIF('Resultats Reals'!$I$2:$I$9,BC5)&gt;0,1,0)+IF(COUNTIF('Resultats Reals'!$I$2:$I$9,BD5)&gt;0,1,0)+IF(COUNTIF('Resultats Reals'!$I$2:$I$9,BE5)&gt;0,1,0)+IF(COUNTIF('Resultats Reals'!$I$2:$I$9,BF5)&gt;0,1,0)+IF(COUNTIF('Resultats Reals'!$I$2:$I$9,BG5)&gt;0,1,0)+IF(COUNTIF('Resultats Reals'!$I$2:$I$9,BH5)&gt;0,1,0)+IF(COUNTIF('Resultats Reals'!$I$2:$I$9,BI5)&gt;0,1,0)+IF(COUNTIF('Resultats Reals'!$I$2:$I$9,BJ5)&gt;0,1,0)</f>
        <v>0</v>
      </c>
      <c r="BZ5">
        <f>IF(COUNTIF('Resultats Reals'!$K$2:$K$5,BK5)&gt;0,1,0)+IF(COUNTIF('Resultats Reals'!$K$2:$K$5,BL5)&gt;0,1,0)+IF(COUNTIF('Resultats Reals'!$K$2:$K$5,BM5)&gt;0,1,0)+IF(COUNTIF('Resultats Reals'!$K$2:$K$5,BN5)&gt;0,1,0)</f>
        <v>0</v>
      </c>
      <c r="CA5">
        <f>IF(COUNTIF('Resultats Reals'!$M$2:$M$3,BO5)&gt;0,3,0)+IF(COUNTIF('Resultats Reals'!$M$2:$M$3,BP5)&gt;0,3,0)</f>
        <v>0</v>
      </c>
      <c r="CB5">
        <f>IF(BQ5='Resultats Reals'!$N$2,5,0)</f>
        <v>0</v>
      </c>
      <c r="CC5">
        <f>IF(BS5='Resultats Reals'!$O$2,5,0)</f>
        <v>0</v>
      </c>
      <c r="CD5">
        <f>IFERROR(VLOOKUP(BT5,'Resultats Reals'!$R$2:$S$100,2,FALSE),0)</f>
        <v>2</v>
      </c>
      <c r="CE5">
        <f>IF(BR5='Resultats Reals'!$P$2,5,0)</f>
        <v>0</v>
      </c>
      <c r="CF5" s="7">
        <f t="shared" si="0"/>
        <v>53</v>
      </c>
    </row>
    <row r="6" spans="1:84" x14ac:dyDescent="0.25">
      <c r="A6" t="s">
        <v>137</v>
      </c>
      <c r="B6" t="s">
        <v>85</v>
      </c>
      <c r="C6" t="s">
        <v>86</v>
      </c>
      <c r="D6" t="s">
        <v>87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99</v>
      </c>
      <c r="Q6" t="s">
        <v>100</v>
      </c>
      <c r="R6" t="s">
        <v>89</v>
      </c>
      <c r="S6" t="s">
        <v>102</v>
      </c>
      <c r="T6" t="s">
        <v>115</v>
      </c>
      <c r="U6" t="s">
        <v>104</v>
      </c>
      <c r="V6" t="s">
        <v>105</v>
      </c>
      <c r="W6" t="s">
        <v>118</v>
      </c>
      <c r="X6" t="s">
        <v>119</v>
      </c>
      <c r="Y6" t="s">
        <v>108</v>
      </c>
      <c r="Z6" t="s">
        <v>109</v>
      </c>
      <c r="AA6" t="s">
        <v>110</v>
      </c>
      <c r="AB6" t="s">
        <v>111</v>
      </c>
      <c r="AC6" t="s">
        <v>112</v>
      </c>
      <c r="AD6" t="s">
        <v>127</v>
      </c>
      <c r="AE6" t="s">
        <v>114</v>
      </c>
      <c r="AF6" t="s">
        <v>103</v>
      </c>
      <c r="AG6" t="s">
        <v>116</v>
      </c>
      <c r="AH6" t="s">
        <v>117</v>
      </c>
      <c r="AI6" t="s">
        <v>106</v>
      </c>
      <c r="AJ6" t="s">
        <v>107</v>
      </c>
      <c r="AK6" t="s">
        <v>120</v>
      </c>
      <c r="AL6" t="s">
        <v>121</v>
      </c>
      <c r="AM6" t="s">
        <v>88</v>
      </c>
      <c r="AN6" t="s">
        <v>90</v>
      </c>
      <c r="AO6" t="s">
        <v>100</v>
      </c>
      <c r="AP6" t="s">
        <v>93</v>
      </c>
      <c r="AQ6" t="s">
        <v>92</v>
      </c>
      <c r="AR6" t="s">
        <v>91</v>
      </c>
      <c r="AS6" t="s">
        <v>95</v>
      </c>
      <c r="AT6" t="s">
        <v>94</v>
      </c>
      <c r="AU6" t="s">
        <v>97</v>
      </c>
      <c r="AV6" t="s">
        <v>109</v>
      </c>
      <c r="AW6" t="s">
        <v>96</v>
      </c>
      <c r="AX6" t="s">
        <v>105</v>
      </c>
      <c r="AY6" t="s">
        <v>102</v>
      </c>
      <c r="AZ6" t="s">
        <v>101</v>
      </c>
      <c r="BA6" t="s">
        <v>108</v>
      </c>
      <c r="BB6" t="s">
        <v>106</v>
      </c>
      <c r="BC6" t="s">
        <v>93</v>
      </c>
      <c r="BD6" t="s">
        <v>95</v>
      </c>
      <c r="BE6" t="s">
        <v>94</v>
      </c>
      <c r="BF6" t="s">
        <v>88</v>
      </c>
      <c r="BG6" t="s">
        <v>90</v>
      </c>
      <c r="BH6" t="s">
        <v>100</v>
      </c>
      <c r="BI6" t="s">
        <v>96</v>
      </c>
      <c r="BJ6" t="s">
        <v>91</v>
      </c>
      <c r="BK6" t="s">
        <v>93</v>
      </c>
      <c r="BL6" t="s">
        <v>88</v>
      </c>
      <c r="BM6" t="s">
        <v>95</v>
      </c>
      <c r="BN6" t="s">
        <v>94</v>
      </c>
      <c r="BO6" t="s">
        <v>93</v>
      </c>
      <c r="BP6" t="s">
        <v>94</v>
      </c>
      <c r="BQ6" t="s">
        <v>93</v>
      </c>
      <c r="BS6" t="s">
        <v>122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18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15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12.5</v>
      </c>
      <c r="BX6">
        <f>IF(COUNTIF('Resultats Reals'!$G$2:$G$17,AM6)&gt;0,1,0)+IF(COUNTIF('Resultats Reals'!$G$2:$G$17,AN6)&gt;0,1,0)+IF(COUNTIF('Resultats Reals'!$G$2:$G$17,AO6)&gt;0,1,0)+IF(COUNTIF('Resultats Reals'!$G$2:$G$17,AP6)&gt;0,1,0)+IF(COUNTIF('Resultats Reals'!$G$2:$G$17,AQ6)&gt;0,1,0)+IF(COUNTIF('Resultats Reals'!$G$2:$G$17,AR6)&gt;0,1,0)+IF(COUNTIF('Resultats Reals'!$G$2:$G$17,AS6)&gt;0,1,0)+IF(COUNTIF('Resultats Reals'!$G$2:$G$17,AT6)&gt;0,1,0)+IF(COUNTIF('Resultats Reals'!$G$2:$G$17,AU6)&gt;0,1,0)+IF(COUNTIF('Resultats Reals'!$G$2:$G$17,AV6)&gt;0,1,0)+IF(COUNTIF('Resultats Reals'!$G$2:$G$17,AW6)&gt;0,1,0)+IF(COUNTIF('Resultats Reals'!$G$2:$G$17,AX6)&gt;0,1,0)+IF(COUNTIF('Resultats Reals'!$G$2:$G$17,AY6)&gt;0,1,0)+IF(COUNTIF('Resultats Reals'!$G$2:$G$17,AZ6)&gt;0,1,0)+IF(COUNTIF('Resultats Reals'!$G$2:$G$17,BA6)&gt;0,1,0)+IF(COUNTIF('Resultats Reals'!$G$2:$G$17,BB6)&gt;0,1,0)</f>
        <v>0</v>
      </c>
      <c r="BY6">
        <f>IF(COUNTIF('Resultats Reals'!$I$2:$I$9,BC6)&gt;0,1,0)+IF(COUNTIF('Resultats Reals'!$I$2:$I$9,BD6)&gt;0,1,0)+IF(COUNTIF('Resultats Reals'!$I$2:$I$9,BE6)&gt;0,1,0)+IF(COUNTIF('Resultats Reals'!$I$2:$I$9,BF6)&gt;0,1,0)+IF(COUNTIF('Resultats Reals'!$I$2:$I$9,BG6)&gt;0,1,0)+IF(COUNTIF('Resultats Reals'!$I$2:$I$9,BH6)&gt;0,1,0)+IF(COUNTIF('Resultats Reals'!$I$2:$I$9,BI6)&gt;0,1,0)+IF(COUNTIF('Resultats Reals'!$I$2:$I$9,BJ6)&gt;0,1,0)</f>
        <v>0</v>
      </c>
      <c r="BZ6">
        <f>IF(COUNTIF('Resultats Reals'!$K$2:$K$5,BK6)&gt;0,1,0)+IF(COUNTIF('Resultats Reals'!$K$2:$K$5,BL6)&gt;0,1,0)+IF(COUNTIF('Resultats Reals'!$K$2:$K$5,BM6)&gt;0,1,0)+IF(COUNTIF('Resultats Reals'!$K$2:$K$5,BN6)&gt;0,1,0)</f>
        <v>0</v>
      </c>
      <c r="CA6">
        <f>IF(COUNTIF('Resultats Reals'!$M$2:$M$3,BO6)&gt;0,3,0)+IF(COUNTIF('Resultats Reals'!$M$2:$M$3,BP6)&gt;0,3,0)</f>
        <v>0</v>
      </c>
      <c r="CB6">
        <f>IF(BQ6='Resultats Reals'!$N$2,5,0)</f>
        <v>0</v>
      </c>
      <c r="CC6">
        <f>IF(BS6='Resultats Reals'!$O$2,5,0)</f>
        <v>0</v>
      </c>
      <c r="CD6">
        <f>IFERROR(VLOOKUP(BT6,'Resultats Reals'!$R$2:$S$100,2,FALSE),0)</f>
        <v>2</v>
      </c>
      <c r="CE6">
        <f>IF(BR6='Resultats Reals'!$P$2,5,0)</f>
        <v>0</v>
      </c>
      <c r="CF6" s="7">
        <f t="shared" si="0"/>
        <v>47.5</v>
      </c>
    </row>
    <row r="7" spans="1:84" ht="15.75" customHeight="1" x14ac:dyDescent="0.25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20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15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11.5</v>
      </c>
      <c r="BX7">
        <f>IF(COUNTIF('Resultats Reals'!$G$2:$G$17,AM7)&gt;0,1,0)+IF(COUNTIF('Resultats Reals'!$G$2:$G$17,AN7)&gt;0,1,0)+IF(COUNTIF('Resultats Reals'!$G$2:$G$17,AO7)&gt;0,1,0)+IF(COUNTIF('Resultats Reals'!$G$2:$G$17,AP7)&gt;0,1,0)+IF(COUNTIF('Resultats Reals'!$G$2:$G$17,AQ7)&gt;0,1,0)+IF(COUNTIF('Resultats Reals'!$G$2:$G$17,AR7)&gt;0,1,0)+IF(COUNTIF('Resultats Reals'!$G$2:$G$17,AS7)&gt;0,1,0)+IF(COUNTIF('Resultats Reals'!$G$2:$G$17,AT7)&gt;0,1,0)+IF(COUNTIF('Resultats Reals'!$G$2:$G$17,AU7)&gt;0,1,0)+IF(COUNTIF('Resultats Reals'!$G$2:$G$17,AV7)&gt;0,1,0)+IF(COUNTIF('Resultats Reals'!$G$2:$G$17,AW7)&gt;0,1,0)+IF(COUNTIF('Resultats Reals'!$G$2:$G$17,AX7)&gt;0,1,0)+IF(COUNTIF('Resultats Reals'!$G$2:$G$17,AY7)&gt;0,1,0)+IF(COUNTIF('Resultats Reals'!$G$2:$G$17,AZ7)&gt;0,1,0)+IF(COUNTIF('Resultats Reals'!$G$2:$G$17,BA7)&gt;0,1,0)+IF(COUNTIF('Resultats Reals'!$G$2:$G$17,BB7)&gt;0,1,0)</f>
        <v>0</v>
      </c>
      <c r="BY7">
        <f>IF(COUNTIF('Resultats Reals'!$I$2:$I$9,BC7)&gt;0,1,0)+IF(COUNTIF('Resultats Reals'!$I$2:$I$9,BD7)&gt;0,1,0)+IF(COUNTIF('Resultats Reals'!$I$2:$I$9,BE7)&gt;0,1,0)+IF(COUNTIF('Resultats Reals'!$I$2:$I$9,BF7)&gt;0,1,0)+IF(COUNTIF('Resultats Reals'!$I$2:$I$9,BG7)&gt;0,1,0)+IF(COUNTIF('Resultats Reals'!$I$2:$I$9,BH7)&gt;0,1,0)+IF(COUNTIF('Resultats Reals'!$I$2:$I$9,BI7)&gt;0,1,0)+IF(COUNTIF('Resultats Reals'!$I$2:$I$9,BJ7)&gt;0,1,0)</f>
        <v>0</v>
      </c>
      <c r="BZ7">
        <f>IF(COUNTIF('Resultats Reals'!$K$2:$K$5,BK7)&gt;0,1,0)+IF(COUNTIF('Resultats Reals'!$K$2:$K$5,BL7)&gt;0,1,0)+IF(COUNTIF('Resultats Reals'!$K$2:$K$5,BM7)&gt;0,1,0)+IF(COUNTIF('Resultats Reals'!$K$2:$K$5,BN7)&gt;0,1,0)</f>
        <v>0</v>
      </c>
      <c r="CA7">
        <f>IF(COUNTIF('Resultats Reals'!$M$2:$M$3,BO7)&gt;0,3,0)+IF(COUNTIF('Resultats Reals'!$M$2:$M$3,BP7)&gt;0,3,0)</f>
        <v>0</v>
      </c>
      <c r="CB7">
        <f>IF(BQ7='Resultats Reals'!$N$2,5,0)</f>
        <v>0</v>
      </c>
      <c r="CC7">
        <f>IF(BS7='Resultats Reals'!$O$2,5,0)</f>
        <v>0</v>
      </c>
      <c r="CD7">
        <f>IFERROR(VLOOKUP(BT7,'Resultats Reals'!$R$2:$S$100,2,FALSE),0)</f>
        <v>2</v>
      </c>
      <c r="CE7">
        <f>IF(BR7='Resultats Reals'!$P$2,5,0)</f>
        <v>0</v>
      </c>
      <c r="CF7" s="7">
        <f t="shared" si="0"/>
        <v>48.5</v>
      </c>
    </row>
    <row r="8" spans="1:84" x14ac:dyDescent="0.25">
      <c r="A8" t="s">
        <v>140</v>
      </c>
      <c r="B8" t="s">
        <v>141</v>
      </c>
      <c r="C8" t="s">
        <v>86</v>
      </c>
      <c r="D8" t="s">
        <v>99</v>
      </c>
      <c r="E8" t="s">
        <v>88</v>
      </c>
      <c r="F8" t="s">
        <v>113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108</v>
      </c>
      <c r="N8" t="s">
        <v>109</v>
      </c>
      <c r="O8" t="s">
        <v>110</v>
      </c>
      <c r="P8" t="s">
        <v>87</v>
      </c>
      <c r="Q8" t="s">
        <v>112</v>
      </c>
      <c r="R8" t="s">
        <v>101</v>
      </c>
      <c r="S8" t="s">
        <v>102</v>
      </c>
      <c r="T8" t="s">
        <v>103</v>
      </c>
      <c r="U8" t="s">
        <v>139</v>
      </c>
      <c r="V8" t="s">
        <v>105</v>
      </c>
      <c r="W8" t="s">
        <v>106</v>
      </c>
      <c r="X8" t="s">
        <v>107</v>
      </c>
      <c r="Y8" t="s">
        <v>96</v>
      </c>
      <c r="Z8" t="s">
        <v>97</v>
      </c>
      <c r="AA8" t="s">
        <v>131</v>
      </c>
      <c r="AB8" t="s">
        <v>111</v>
      </c>
      <c r="AC8" t="s">
        <v>100</v>
      </c>
      <c r="AD8" t="s">
        <v>89</v>
      </c>
      <c r="AE8" t="s">
        <v>142</v>
      </c>
      <c r="AF8" t="s">
        <v>132</v>
      </c>
      <c r="AG8" t="s">
        <v>104</v>
      </c>
      <c r="AH8" t="s">
        <v>143</v>
      </c>
      <c r="AI8" t="s">
        <v>118</v>
      </c>
      <c r="AJ8" t="s">
        <v>144</v>
      </c>
      <c r="AK8" t="s">
        <v>120</v>
      </c>
      <c r="AL8" t="s">
        <v>145</v>
      </c>
      <c r="AM8" t="s">
        <v>90</v>
      </c>
      <c r="AN8" t="s">
        <v>94</v>
      </c>
      <c r="AO8" t="s">
        <v>87</v>
      </c>
      <c r="AP8" t="s">
        <v>91</v>
      </c>
      <c r="AQ8" t="s">
        <v>96</v>
      </c>
      <c r="AR8" t="s">
        <v>93</v>
      </c>
      <c r="AS8" t="s">
        <v>113</v>
      </c>
      <c r="AT8" t="s">
        <v>92</v>
      </c>
      <c r="AU8" t="s">
        <v>88</v>
      </c>
      <c r="AV8" t="s">
        <v>102</v>
      </c>
      <c r="AW8" t="s">
        <v>100</v>
      </c>
      <c r="AX8" t="s">
        <v>109</v>
      </c>
      <c r="AY8" t="s">
        <v>95</v>
      </c>
      <c r="AZ8" t="s">
        <v>101</v>
      </c>
      <c r="BA8" t="s">
        <v>99</v>
      </c>
      <c r="BB8" t="s">
        <v>108</v>
      </c>
      <c r="BC8" t="s">
        <v>90</v>
      </c>
      <c r="BD8" t="s">
        <v>91</v>
      </c>
      <c r="BE8" t="s">
        <v>93</v>
      </c>
      <c r="BF8" t="s">
        <v>92</v>
      </c>
      <c r="BG8" t="s">
        <v>88</v>
      </c>
      <c r="BH8" t="s">
        <v>100</v>
      </c>
      <c r="BI8" t="s">
        <v>95</v>
      </c>
      <c r="BJ8" t="s">
        <v>108</v>
      </c>
      <c r="BK8" t="s">
        <v>91</v>
      </c>
      <c r="BL8" t="s">
        <v>93</v>
      </c>
      <c r="BM8" t="s">
        <v>100</v>
      </c>
      <c r="BN8" t="s">
        <v>95</v>
      </c>
      <c r="BO8" t="s">
        <v>93</v>
      </c>
      <c r="BP8" t="s">
        <v>95</v>
      </c>
      <c r="BQ8" t="s">
        <v>95</v>
      </c>
      <c r="BS8" t="s">
        <v>146</v>
      </c>
      <c r="BT8" t="s">
        <v>146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20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11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6.5</v>
      </c>
      <c r="BX8">
        <f>IF(COUNTIF('Resultats Reals'!$G$2:$G$17,AM8)&gt;0,1,0)+IF(COUNTIF('Resultats Reals'!$G$2:$G$17,AN8)&gt;0,1,0)+IF(COUNTIF('Resultats Reals'!$G$2:$G$17,AO8)&gt;0,1,0)+IF(COUNTIF('Resultats Reals'!$G$2:$G$17,AP8)&gt;0,1,0)+IF(COUNTIF('Resultats Reals'!$G$2:$G$17,AQ8)&gt;0,1,0)+IF(COUNTIF('Resultats Reals'!$G$2:$G$17,AR8)&gt;0,1,0)+IF(COUNTIF('Resultats Reals'!$G$2:$G$17,AS8)&gt;0,1,0)+IF(COUNTIF('Resultats Reals'!$G$2:$G$17,AT8)&gt;0,1,0)+IF(COUNTIF('Resultats Reals'!$G$2:$G$17,AU8)&gt;0,1,0)+IF(COUNTIF('Resultats Reals'!$G$2:$G$17,AV8)&gt;0,1,0)+IF(COUNTIF('Resultats Reals'!$G$2:$G$17,AW8)&gt;0,1,0)+IF(COUNTIF('Resultats Reals'!$G$2:$G$17,AX8)&gt;0,1,0)+IF(COUNTIF('Resultats Reals'!$G$2:$G$17,AY8)&gt;0,1,0)+IF(COUNTIF('Resultats Reals'!$G$2:$G$17,AZ8)&gt;0,1,0)+IF(COUNTIF('Resultats Reals'!$G$2:$G$17,BA8)&gt;0,1,0)+IF(COUNTIF('Resultats Reals'!$G$2:$G$17,BB8)&gt;0,1,0)</f>
        <v>0</v>
      </c>
      <c r="BY8">
        <f>IF(COUNTIF('Resultats Reals'!$I$2:$I$9,BC8)&gt;0,1,0)+IF(COUNTIF('Resultats Reals'!$I$2:$I$9,BD8)&gt;0,1,0)+IF(COUNTIF('Resultats Reals'!$I$2:$I$9,BE8)&gt;0,1,0)+IF(COUNTIF('Resultats Reals'!$I$2:$I$9,BF8)&gt;0,1,0)+IF(COUNTIF('Resultats Reals'!$I$2:$I$9,BG8)&gt;0,1,0)+IF(COUNTIF('Resultats Reals'!$I$2:$I$9,BH8)&gt;0,1,0)+IF(COUNTIF('Resultats Reals'!$I$2:$I$9,BI8)&gt;0,1,0)+IF(COUNTIF('Resultats Reals'!$I$2:$I$9,BJ8)&gt;0,1,0)</f>
        <v>0</v>
      </c>
      <c r="BZ8">
        <f>IF(COUNTIF('Resultats Reals'!$K$2:$K$5,BK8)&gt;0,1,0)+IF(COUNTIF('Resultats Reals'!$K$2:$K$5,BL8)&gt;0,1,0)+IF(COUNTIF('Resultats Reals'!$K$2:$K$5,BM8)&gt;0,1,0)+IF(COUNTIF('Resultats Reals'!$K$2:$K$5,BN8)&gt;0,1,0)</f>
        <v>0</v>
      </c>
      <c r="CA8">
        <f>IF(COUNTIF('Resultats Reals'!$M$2:$M$3,BO8)&gt;0,3,0)+IF(COUNTIF('Resultats Reals'!$M$2:$M$3,BP8)&gt;0,3,0)</f>
        <v>0</v>
      </c>
      <c r="CB8">
        <f>IF(BQ8='Resultats Reals'!$N$2,5,0)</f>
        <v>0</v>
      </c>
      <c r="CC8">
        <f>IF(BS8='Resultats Reals'!$O$2,5,0)</f>
        <v>0</v>
      </c>
      <c r="CD8">
        <f>IFERROR(VLOOKUP(BT8,'Resultats Reals'!$R$2:$S$100,2,FALSE),0)</f>
        <v>0</v>
      </c>
      <c r="CE8">
        <f>IF(BR8='Resultats Reals'!$P$2,5,0)</f>
        <v>0</v>
      </c>
      <c r="CF8" s="7">
        <f t="shared" si="0"/>
        <v>37.5</v>
      </c>
    </row>
    <row r="9" spans="1:84" x14ac:dyDescent="0.25">
      <c r="A9" t="s">
        <v>147</v>
      </c>
      <c r="B9" t="s">
        <v>148</v>
      </c>
      <c r="C9" t="s">
        <v>86</v>
      </c>
      <c r="D9" t="s">
        <v>87</v>
      </c>
      <c r="E9" t="s">
        <v>100</v>
      </c>
      <c r="F9" t="s">
        <v>101</v>
      </c>
      <c r="G9" t="s">
        <v>102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99</v>
      </c>
      <c r="Q9" t="s">
        <v>88</v>
      </c>
      <c r="R9" t="s">
        <v>89</v>
      </c>
      <c r="S9" t="s">
        <v>90</v>
      </c>
      <c r="T9" t="s">
        <v>115</v>
      </c>
      <c r="U9" t="s">
        <v>104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110</v>
      </c>
      <c r="AB9" t="s">
        <v>111</v>
      </c>
      <c r="AC9" t="s">
        <v>112</v>
      </c>
      <c r="AD9" t="s">
        <v>127</v>
      </c>
      <c r="AE9" t="s">
        <v>114</v>
      </c>
      <c r="AF9" t="s">
        <v>103</v>
      </c>
      <c r="AG9" t="s">
        <v>116</v>
      </c>
      <c r="AH9" t="s">
        <v>117</v>
      </c>
      <c r="AI9" t="s">
        <v>118</v>
      </c>
      <c r="AJ9" t="s">
        <v>119</v>
      </c>
      <c r="AK9" t="s">
        <v>128</v>
      </c>
      <c r="AL9" t="s">
        <v>121</v>
      </c>
      <c r="AM9" t="s">
        <v>102</v>
      </c>
      <c r="AN9" t="s">
        <v>94</v>
      </c>
      <c r="AO9" t="s">
        <v>99</v>
      </c>
      <c r="AP9" t="s">
        <v>88</v>
      </c>
      <c r="AQ9" t="s">
        <v>108</v>
      </c>
      <c r="AR9" t="s">
        <v>93</v>
      </c>
      <c r="AS9" t="s">
        <v>101</v>
      </c>
      <c r="AT9" t="s">
        <v>92</v>
      </c>
      <c r="AU9" t="s">
        <v>100</v>
      </c>
      <c r="AV9" t="s">
        <v>90</v>
      </c>
      <c r="AW9" t="s">
        <v>86</v>
      </c>
      <c r="AX9" t="s">
        <v>97</v>
      </c>
      <c r="AY9" t="s">
        <v>95</v>
      </c>
      <c r="AZ9" t="s">
        <v>104</v>
      </c>
      <c r="BA9" t="s">
        <v>87</v>
      </c>
      <c r="BB9" t="s">
        <v>96</v>
      </c>
      <c r="BC9" t="s">
        <v>94</v>
      </c>
      <c r="BD9" t="s">
        <v>88</v>
      </c>
      <c r="BE9" t="s">
        <v>93</v>
      </c>
      <c r="BF9" t="s">
        <v>101</v>
      </c>
      <c r="BG9" t="s">
        <v>100</v>
      </c>
      <c r="BH9" t="s">
        <v>97</v>
      </c>
      <c r="BI9" t="s">
        <v>95</v>
      </c>
      <c r="BJ9" t="s">
        <v>96</v>
      </c>
      <c r="BK9" t="s">
        <v>94</v>
      </c>
      <c r="BL9" t="s">
        <v>93</v>
      </c>
      <c r="BM9" t="s">
        <v>100</v>
      </c>
      <c r="BN9" t="s">
        <v>96</v>
      </c>
      <c r="BO9" t="s">
        <v>93</v>
      </c>
      <c r="BP9" t="s">
        <v>96</v>
      </c>
      <c r="BQ9" t="s">
        <v>93</v>
      </c>
      <c r="BR9" s="6" t="s">
        <v>149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15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16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13</v>
      </c>
      <c r="BX9">
        <f>IF(COUNTIF('Resultats Reals'!$G$2:$G$17,AM9)&gt;0,1,0)+IF(COUNTIF('Resultats Reals'!$G$2:$G$17,AN9)&gt;0,1,0)+IF(COUNTIF('Resultats Reals'!$G$2:$G$17,AO9)&gt;0,1,0)+IF(COUNTIF('Resultats Reals'!$G$2:$G$17,AP9)&gt;0,1,0)+IF(COUNTIF('Resultats Reals'!$G$2:$G$17,AQ9)&gt;0,1,0)+IF(COUNTIF('Resultats Reals'!$G$2:$G$17,AR9)&gt;0,1,0)+IF(COUNTIF('Resultats Reals'!$G$2:$G$17,AS9)&gt;0,1,0)+IF(COUNTIF('Resultats Reals'!$G$2:$G$17,AT9)&gt;0,1,0)+IF(COUNTIF('Resultats Reals'!$G$2:$G$17,AU9)&gt;0,1,0)+IF(COUNTIF('Resultats Reals'!$G$2:$G$17,AV9)&gt;0,1,0)+IF(COUNTIF('Resultats Reals'!$G$2:$G$17,AW9)&gt;0,1,0)+IF(COUNTIF('Resultats Reals'!$G$2:$G$17,AX9)&gt;0,1,0)+IF(COUNTIF('Resultats Reals'!$G$2:$G$17,AY9)&gt;0,1,0)+IF(COUNTIF('Resultats Reals'!$G$2:$G$17,AZ9)&gt;0,1,0)+IF(COUNTIF('Resultats Reals'!$G$2:$G$17,BA9)&gt;0,1,0)+IF(COUNTIF('Resultats Reals'!$G$2:$G$17,BB9)&gt;0,1,0)</f>
        <v>0</v>
      </c>
      <c r="BY9">
        <f>IF(COUNTIF('Resultats Reals'!$I$2:$I$9,BC9)&gt;0,1,0)+IF(COUNTIF('Resultats Reals'!$I$2:$I$9,BD9)&gt;0,1,0)+IF(COUNTIF('Resultats Reals'!$I$2:$I$9,BE9)&gt;0,1,0)+IF(COUNTIF('Resultats Reals'!$I$2:$I$9,BF9)&gt;0,1,0)+IF(COUNTIF('Resultats Reals'!$I$2:$I$9,BG9)&gt;0,1,0)+IF(COUNTIF('Resultats Reals'!$I$2:$I$9,BH9)&gt;0,1,0)+IF(COUNTIF('Resultats Reals'!$I$2:$I$9,BI9)&gt;0,1,0)+IF(COUNTIF('Resultats Reals'!$I$2:$I$9,BJ9)&gt;0,1,0)</f>
        <v>0</v>
      </c>
      <c r="BZ9">
        <f>IF(COUNTIF('Resultats Reals'!$K$2:$K$5,BK9)&gt;0,1,0)+IF(COUNTIF('Resultats Reals'!$K$2:$K$5,BL9)&gt;0,1,0)+IF(COUNTIF('Resultats Reals'!$K$2:$K$5,BM9)&gt;0,1,0)+IF(COUNTIF('Resultats Reals'!$K$2:$K$5,BN9)&gt;0,1,0)</f>
        <v>0</v>
      </c>
      <c r="CA9">
        <f>IF(COUNTIF('Resultats Reals'!$M$2:$M$3,BO9)&gt;0,3,0)+IF(COUNTIF('Resultats Reals'!$M$2:$M$3,BP9)&gt;0,3,0)</f>
        <v>0</v>
      </c>
      <c r="CB9">
        <f>IF(BQ9='Resultats Reals'!$N$2,5,0)</f>
        <v>0</v>
      </c>
      <c r="CC9">
        <f>IF(BS9='Resultats Reals'!$O$2,5,0)</f>
        <v>0</v>
      </c>
      <c r="CD9">
        <f>IFERROR(VLOOKUP(BT9,'Resultats Reals'!$R$2:$S$100,2,FALSE),0)</f>
        <v>2</v>
      </c>
      <c r="CE9">
        <f>IF(BR9='Resultats Reals'!$P$2,5,0)</f>
        <v>0</v>
      </c>
      <c r="CF9" s="7">
        <f t="shared" si="0"/>
        <v>46</v>
      </c>
    </row>
    <row r="10" spans="1:84" x14ac:dyDescent="0.25">
      <c r="A10" t="s">
        <v>150</v>
      </c>
      <c r="B10" t="s">
        <v>136</v>
      </c>
      <c r="C10" t="s">
        <v>86</v>
      </c>
      <c r="D10" t="s">
        <v>99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110</v>
      </c>
      <c r="P10" t="s">
        <v>111</v>
      </c>
      <c r="Q10" t="s">
        <v>100</v>
      </c>
      <c r="R10" t="s">
        <v>89</v>
      </c>
      <c r="S10" t="s">
        <v>114</v>
      </c>
      <c r="T10" t="s">
        <v>115</v>
      </c>
      <c r="U10" t="s">
        <v>104</v>
      </c>
      <c r="V10" t="s">
        <v>105</v>
      </c>
      <c r="W10" t="s">
        <v>118</v>
      </c>
      <c r="X10" t="s">
        <v>107</v>
      </c>
      <c r="Y10" t="s">
        <v>108</v>
      </c>
      <c r="Z10" t="s">
        <v>109</v>
      </c>
      <c r="AA10" t="s">
        <v>98</v>
      </c>
      <c r="AB10" t="s">
        <v>87</v>
      </c>
      <c r="AC10" t="s">
        <v>112</v>
      </c>
      <c r="AD10" t="s">
        <v>113</v>
      </c>
      <c r="AE10" t="s">
        <v>102</v>
      </c>
      <c r="AF10" t="s">
        <v>103</v>
      </c>
      <c r="AG10" t="s">
        <v>116</v>
      </c>
      <c r="AH10" t="s">
        <v>117</v>
      </c>
      <c r="AI10" t="s">
        <v>106</v>
      </c>
      <c r="AJ10" t="s">
        <v>119</v>
      </c>
      <c r="AK10" t="s">
        <v>128</v>
      </c>
      <c r="AL10" t="s">
        <v>121</v>
      </c>
      <c r="AM10" t="s">
        <v>90</v>
      </c>
      <c r="AN10" t="s">
        <v>94</v>
      </c>
      <c r="AO10" t="s">
        <v>110</v>
      </c>
      <c r="AP10" t="s">
        <v>91</v>
      </c>
      <c r="AQ10" t="s">
        <v>109</v>
      </c>
      <c r="AR10" t="s">
        <v>93</v>
      </c>
      <c r="AS10" t="s">
        <v>87</v>
      </c>
      <c r="AT10" t="s">
        <v>106</v>
      </c>
      <c r="AU10" t="s">
        <v>88</v>
      </c>
      <c r="AV10" t="s">
        <v>118</v>
      </c>
      <c r="AW10" t="s">
        <v>102</v>
      </c>
      <c r="AX10" t="s">
        <v>97</v>
      </c>
      <c r="AY10" t="s">
        <v>95</v>
      </c>
      <c r="AZ10" t="s">
        <v>104</v>
      </c>
      <c r="BA10" t="s">
        <v>99</v>
      </c>
      <c r="BB10" t="s">
        <v>96</v>
      </c>
      <c r="BC10" t="s">
        <v>94</v>
      </c>
      <c r="BD10" t="s">
        <v>91</v>
      </c>
      <c r="BE10" t="s">
        <v>93</v>
      </c>
      <c r="BF10" t="s">
        <v>106</v>
      </c>
      <c r="BG10" t="s">
        <v>88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88</v>
      </c>
      <c r="BN10" t="s">
        <v>95</v>
      </c>
      <c r="BO10" t="s">
        <v>93</v>
      </c>
      <c r="BP10" t="s">
        <v>95</v>
      </c>
      <c r="BQ10" t="s">
        <v>93</v>
      </c>
      <c r="BS10" t="s">
        <v>151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19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13</v>
      </c>
      <c r="BX10">
        <f>IF(COUNTIF('Resultats Reals'!$G$2:$G$17,AM10)&gt;0,1,0)+IF(COUNTIF('Resultats Reals'!$G$2:$G$17,AN10)&gt;0,1,0)+IF(COUNTIF('Resultats Reals'!$G$2:$G$17,AO10)&gt;0,1,0)+IF(COUNTIF('Resultats Reals'!$G$2:$G$17,AP10)&gt;0,1,0)+IF(COUNTIF('Resultats Reals'!$G$2:$G$17,AQ10)&gt;0,1,0)+IF(COUNTIF('Resultats Reals'!$G$2:$G$17,AR10)&gt;0,1,0)+IF(COUNTIF('Resultats Reals'!$G$2:$G$17,AS10)&gt;0,1,0)+IF(COUNTIF('Resultats Reals'!$G$2:$G$17,AT10)&gt;0,1,0)+IF(COUNTIF('Resultats Reals'!$G$2:$G$17,AU10)&gt;0,1,0)+IF(COUNTIF('Resultats Reals'!$G$2:$G$17,AV10)&gt;0,1,0)+IF(COUNTIF('Resultats Reals'!$G$2:$G$17,AW10)&gt;0,1,0)+IF(COUNTIF('Resultats Reals'!$G$2:$G$17,AX10)&gt;0,1,0)+IF(COUNTIF('Resultats Reals'!$G$2:$G$17,AY10)&gt;0,1,0)+IF(COUNTIF('Resultats Reals'!$G$2:$G$17,AZ10)&gt;0,1,0)+IF(COUNTIF('Resultats Reals'!$G$2:$G$17,BA10)&gt;0,1,0)+IF(COUNTIF('Resultats Reals'!$G$2:$G$17,BB10)&gt;0,1,0)</f>
        <v>0</v>
      </c>
      <c r="BY10">
        <f>IF(COUNTIF('Resultats Reals'!$I$2:$I$9,BC10)&gt;0,1,0)+IF(COUNTIF('Resultats Reals'!$I$2:$I$9,BD10)&gt;0,1,0)+IF(COUNTIF('Resultats Reals'!$I$2:$I$9,BE10)&gt;0,1,0)+IF(COUNTIF('Resultats Reals'!$I$2:$I$9,BF10)&gt;0,1,0)+IF(COUNTIF('Resultats Reals'!$I$2:$I$9,BG10)&gt;0,1,0)+IF(COUNTIF('Resultats Reals'!$I$2:$I$9,BH10)&gt;0,1,0)+IF(COUNTIF('Resultats Reals'!$I$2:$I$9,BI10)&gt;0,1,0)+IF(COUNTIF('Resultats Reals'!$I$2:$I$9,BJ10)&gt;0,1,0)</f>
        <v>0</v>
      </c>
      <c r="BZ10">
        <f>IF(COUNTIF('Resultats Reals'!$K$2:$K$5,BK10)&gt;0,1,0)+IF(COUNTIF('Resultats Reals'!$K$2:$K$5,BL10)&gt;0,1,0)+IF(COUNTIF('Resultats Reals'!$K$2:$K$5,BM10)&gt;0,1,0)+IF(COUNTIF('Resultats Reals'!$K$2:$K$5,BN10)&gt;0,1,0)</f>
        <v>0</v>
      </c>
      <c r="CA10">
        <f>IF(COUNTIF('Resultats Reals'!$M$2:$M$3,BO10)&gt;0,3,0)+IF(COUNTIF('Resultats Reals'!$M$2:$M$3,BP10)&gt;0,3,0)</f>
        <v>0</v>
      </c>
      <c r="CB10">
        <f>IF(BQ10='Resultats Reals'!$N$2,5,0)</f>
        <v>0</v>
      </c>
      <c r="CC10">
        <f>IF(BS10='Resultats Reals'!$O$2,5,0)</f>
        <v>0</v>
      </c>
      <c r="CD10">
        <f>IFERROR(VLOOKUP(BT10,'Resultats Reals'!$R$2:$S$100,2,FALSE),0)</f>
        <v>2</v>
      </c>
      <c r="CE10">
        <f>IF(BR10='Resultats Reals'!$P$2,5,0)</f>
        <v>0</v>
      </c>
      <c r="CF10" s="7">
        <f t="shared" si="0"/>
        <v>51</v>
      </c>
    </row>
    <row r="11" spans="1:84" x14ac:dyDescent="0.25">
      <c r="A11" t="s">
        <v>152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98</v>
      </c>
      <c r="P11" t="s">
        <v>99</v>
      </c>
      <c r="Q11" t="s">
        <v>100</v>
      </c>
      <c r="R11" t="s">
        <v>89</v>
      </c>
      <c r="S11" t="s">
        <v>102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110</v>
      </c>
      <c r="AB11" t="s">
        <v>111</v>
      </c>
      <c r="AC11" t="s">
        <v>112</v>
      </c>
      <c r="AD11" t="s">
        <v>127</v>
      </c>
      <c r="AE11" t="s">
        <v>114</v>
      </c>
      <c r="AF11" t="s">
        <v>132</v>
      </c>
      <c r="AG11" t="s">
        <v>139</v>
      </c>
      <c r="AH11" t="s">
        <v>117</v>
      </c>
      <c r="AI11" t="s">
        <v>106</v>
      </c>
      <c r="AJ11" t="s">
        <v>144</v>
      </c>
      <c r="AK11" t="s">
        <v>128</v>
      </c>
      <c r="AL11" t="s">
        <v>145</v>
      </c>
      <c r="AM11" t="s">
        <v>86</v>
      </c>
      <c r="AN11" t="s">
        <v>87</v>
      </c>
      <c r="AO11" t="s">
        <v>88</v>
      </c>
      <c r="AP11" t="s">
        <v>101</v>
      </c>
      <c r="AQ11" t="s">
        <v>90</v>
      </c>
      <c r="AR11" t="s">
        <v>91</v>
      </c>
      <c r="AS11" t="s">
        <v>92</v>
      </c>
      <c r="AT11" t="s">
        <v>93</v>
      </c>
      <c r="AU11" t="s">
        <v>94</v>
      </c>
      <c r="AV11" t="s">
        <v>95</v>
      </c>
      <c r="AW11" t="s">
        <v>96</v>
      </c>
      <c r="AX11" t="s">
        <v>97</v>
      </c>
      <c r="AY11" t="s">
        <v>100</v>
      </c>
      <c r="AZ11" t="s">
        <v>109</v>
      </c>
      <c r="BA11" t="s">
        <v>115</v>
      </c>
      <c r="BB11" t="s">
        <v>118</v>
      </c>
      <c r="BC11" t="s">
        <v>93</v>
      </c>
      <c r="BD11" t="s">
        <v>94</v>
      </c>
      <c r="BE11" t="s">
        <v>100</v>
      </c>
      <c r="BF11" t="s">
        <v>95</v>
      </c>
      <c r="BG11" t="s">
        <v>96</v>
      </c>
      <c r="BH11" t="s">
        <v>88</v>
      </c>
      <c r="BI11" t="s">
        <v>97</v>
      </c>
      <c r="BJ11" t="s">
        <v>90</v>
      </c>
      <c r="BK11" t="s">
        <v>93</v>
      </c>
      <c r="BL11" t="s">
        <v>94</v>
      </c>
      <c r="BM11" t="s">
        <v>88</v>
      </c>
      <c r="BN11" t="s">
        <v>95</v>
      </c>
      <c r="BO11" t="s">
        <v>93</v>
      </c>
      <c r="BP11" t="s">
        <v>94</v>
      </c>
      <c r="BQ11" t="s">
        <v>93</v>
      </c>
      <c r="BS11" t="s">
        <v>122</v>
      </c>
      <c r="BT11" t="s">
        <v>129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18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8</v>
      </c>
      <c r="BX11">
        <f>IF(COUNTIF('Resultats Reals'!$G$2:$G$17,AM11)&gt;0,1,0)+IF(COUNTIF('Resultats Reals'!$G$2:$G$17,AN11)&gt;0,1,0)+IF(COUNTIF('Resultats Reals'!$G$2:$G$17,AO11)&gt;0,1,0)+IF(COUNTIF('Resultats Reals'!$G$2:$G$17,AP11)&gt;0,1,0)+IF(COUNTIF('Resultats Reals'!$G$2:$G$17,AQ11)&gt;0,1,0)+IF(COUNTIF('Resultats Reals'!$G$2:$G$17,AR11)&gt;0,1,0)+IF(COUNTIF('Resultats Reals'!$G$2:$G$17,AS11)&gt;0,1,0)+IF(COUNTIF('Resultats Reals'!$G$2:$G$17,AT11)&gt;0,1,0)+IF(COUNTIF('Resultats Reals'!$G$2:$G$17,AU11)&gt;0,1,0)+IF(COUNTIF('Resultats Reals'!$G$2:$G$17,AV11)&gt;0,1,0)+IF(COUNTIF('Resultats Reals'!$G$2:$G$17,AW11)&gt;0,1,0)+IF(COUNTIF('Resultats Reals'!$G$2:$G$17,AX11)&gt;0,1,0)+IF(COUNTIF('Resultats Reals'!$G$2:$G$17,AY11)&gt;0,1,0)+IF(COUNTIF('Resultats Reals'!$G$2:$G$17,AZ11)&gt;0,1,0)+IF(COUNTIF('Resultats Reals'!$G$2:$G$17,BA11)&gt;0,1,0)+IF(COUNTIF('Resultats Reals'!$G$2:$G$17,BB11)&gt;0,1,0)</f>
        <v>0</v>
      </c>
      <c r="BY11">
        <f>IF(COUNTIF('Resultats Reals'!$I$2:$I$9,BC11)&gt;0,1,0)+IF(COUNTIF('Resultats Reals'!$I$2:$I$9,BD11)&gt;0,1,0)+IF(COUNTIF('Resultats Reals'!$I$2:$I$9,BE11)&gt;0,1,0)+IF(COUNTIF('Resultats Reals'!$I$2:$I$9,BF11)&gt;0,1,0)+IF(COUNTIF('Resultats Reals'!$I$2:$I$9,BG11)&gt;0,1,0)+IF(COUNTIF('Resultats Reals'!$I$2:$I$9,BH11)&gt;0,1,0)+IF(COUNTIF('Resultats Reals'!$I$2:$I$9,BI11)&gt;0,1,0)+IF(COUNTIF('Resultats Reals'!$I$2:$I$9,BJ11)&gt;0,1,0)</f>
        <v>0</v>
      </c>
      <c r="BZ11">
        <f>IF(COUNTIF('Resultats Reals'!$K$2:$K$5,BK11)&gt;0,1,0)+IF(COUNTIF('Resultats Reals'!$K$2:$K$5,BL11)&gt;0,1,0)+IF(COUNTIF('Resultats Reals'!$K$2:$K$5,BM11)&gt;0,1,0)+IF(COUNTIF('Resultats Reals'!$K$2:$K$5,BN11)&gt;0,1,0)</f>
        <v>0</v>
      </c>
      <c r="CA11">
        <f>IF(COUNTIF('Resultats Reals'!$M$2:$M$3,BO11)&gt;0,3,0)+IF(COUNTIF('Resultats Reals'!$M$2:$M$3,BP11)&gt;0,3,0)</f>
        <v>0</v>
      </c>
      <c r="CB11">
        <f>IF(BQ11='Resultats Reals'!$N$2,5,0)</f>
        <v>0</v>
      </c>
      <c r="CC11">
        <f>IF(BS11='Resultats Reals'!$O$2,5,0)</f>
        <v>0</v>
      </c>
      <c r="CD11">
        <f>IFERROR(VLOOKUP(BT11,'Resultats Reals'!$R$2:$S$100,2,FALSE),0)</f>
        <v>2</v>
      </c>
      <c r="CE11">
        <f>IF(BR11='Resultats Reals'!$P$2,5,0)</f>
        <v>0</v>
      </c>
      <c r="CF11" s="7">
        <f t="shared" si="0"/>
        <v>45</v>
      </c>
    </row>
    <row r="12" spans="1:84" x14ac:dyDescent="0.25">
      <c r="A12" t="s">
        <v>153</v>
      </c>
      <c r="B12" t="s">
        <v>148</v>
      </c>
      <c r="C12" t="s">
        <v>98</v>
      </c>
      <c r="D12" t="s">
        <v>87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109</v>
      </c>
      <c r="O12" t="s">
        <v>110</v>
      </c>
      <c r="P12" t="s">
        <v>111</v>
      </c>
      <c r="Q12" t="s">
        <v>100</v>
      </c>
      <c r="R12" t="s">
        <v>113</v>
      </c>
      <c r="S12" t="s">
        <v>102</v>
      </c>
      <c r="T12" t="s">
        <v>103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97</v>
      </c>
      <c r="AA12" t="s">
        <v>86</v>
      </c>
      <c r="AB12" t="s">
        <v>99</v>
      </c>
      <c r="AC12" t="s">
        <v>112</v>
      </c>
      <c r="AD12" t="s">
        <v>89</v>
      </c>
      <c r="AE12" t="s">
        <v>114</v>
      </c>
      <c r="AF12" t="s">
        <v>115</v>
      </c>
      <c r="AG12" t="s">
        <v>116</v>
      </c>
      <c r="AH12" t="s">
        <v>117</v>
      </c>
      <c r="AI12" t="s">
        <v>106</v>
      </c>
      <c r="AJ12" t="s">
        <v>119</v>
      </c>
      <c r="AK12" t="s">
        <v>128</v>
      </c>
      <c r="AL12" t="s">
        <v>121</v>
      </c>
      <c r="AM12" t="s">
        <v>102</v>
      </c>
      <c r="AN12" t="s">
        <v>93</v>
      </c>
      <c r="AO12" t="s">
        <v>115</v>
      </c>
      <c r="AP12" t="s">
        <v>88</v>
      </c>
      <c r="AQ12" t="s">
        <v>100</v>
      </c>
      <c r="AR12" t="s">
        <v>98</v>
      </c>
      <c r="AS12" t="s">
        <v>90</v>
      </c>
      <c r="AT12" t="s">
        <v>91</v>
      </c>
      <c r="AU12" t="s">
        <v>92</v>
      </c>
      <c r="AV12" t="s">
        <v>105</v>
      </c>
      <c r="AW12" t="s">
        <v>94</v>
      </c>
      <c r="AX12" t="s">
        <v>95</v>
      </c>
      <c r="AY12" t="s">
        <v>96</v>
      </c>
      <c r="AZ12" t="s">
        <v>108</v>
      </c>
      <c r="BA12" t="s">
        <v>97</v>
      </c>
      <c r="BB12" t="s">
        <v>109</v>
      </c>
      <c r="BC12" t="s">
        <v>94</v>
      </c>
      <c r="BD12" t="s">
        <v>88</v>
      </c>
      <c r="BE12" t="s">
        <v>93</v>
      </c>
      <c r="BF12" t="s">
        <v>92</v>
      </c>
      <c r="BG12" t="s">
        <v>95</v>
      </c>
      <c r="BH12" t="s">
        <v>115</v>
      </c>
      <c r="BI12" t="s">
        <v>91</v>
      </c>
      <c r="BJ12" t="s">
        <v>102</v>
      </c>
      <c r="BK12" t="s">
        <v>94</v>
      </c>
      <c r="BL12" t="s">
        <v>88</v>
      </c>
      <c r="BM12" t="s">
        <v>93</v>
      </c>
      <c r="BN12" t="s">
        <v>95</v>
      </c>
      <c r="BO12" t="s">
        <v>88</v>
      </c>
      <c r="BP12" t="s">
        <v>94</v>
      </c>
      <c r="BQ12" t="s">
        <v>94</v>
      </c>
      <c r="BS12" t="s">
        <v>146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16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13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11.5</v>
      </c>
      <c r="BX12">
        <f>IF(COUNTIF('Resultats Reals'!$G$2:$G$17,AM12)&gt;0,1,0)+IF(COUNTIF('Resultats Reals'!$G$2:$G$17,AN12)&gt;0,1,0)+IF(COUNTIF('Resultats Reals'!$G$2:$G$17,AO12)&gt;0,1,0)+IF(COUNTIF('Resultats Reals'!$G$2:$G$17,AP12)&gt;0,1,0)+IF(COUNTIF('Resultats Reals'!$G$2:$G$17,AQ12)&gt;0,1,0)+IF(COUNTIF('Resultats Reals'!$G$2:$G$17,AR12)&gt;0,1,0)+IF(COUNTIF('Resultats Reals'!$G$2:$G$17,AS12)&gt;0,1,0)+IF(COUNTIF('Resultats Reals'!$G$2:$G$17,AT12)&gt;0,1,0)+IF(COUNTIF('Resultats Reals'!$G$2:$G$17,AU12)&gt;0,1,0)+IF(COUNTIF('Resultats Reals'!$G$2:$G$17,AV12)&gt;0,1,0)+IF(COUNTIF('Resultats Reals'!$G$2:$G$17,AW12)&gt;0,1,0)+IF(COUNTIF('Resultats Reals'!$G$2:$G$17,AX12)&gt;0,1,0)+IF(COUNTIF('Resultats Reals'!$G$2:$G$17,AY12)&gt;0,1,0)+IF(COUNTIF('Resultats Reals'!$G$2:$G$17,AZ12)&gt;0,1,0)+IF(COUNTIF('Resultats Reals'!$G$2:$G$17,BA12)&gt;0,1,0)+IF(COUNTIF('Resultats Reals'!$G$2:$G$17,BB12)&gt;0,1,0)</f>
        <v>0</v>
      </c>
      <c r="BY12">
        <f>IF(COUNTIF('Resultats Reals'!$I$2:$I$9,BC12)&gt;0,1,0)+IF(COUNTIF('Resultats Reals'!$I$2:$I$9,BD12)&gt;0,1,0)+IF(COUNTIF('Resultats Reals'!$I$2:$I$9,BE12)&gt;0,1,0)+IF(COUNTIF('Resultats Reals'!$I$2:$I$9,BF12)&gt;0,1,0)+IF(COUNTIF('Resultats Reals'!$I$2:$I$9,BG12)&gt;0,1,0)+IF(COUNTIF('Resultats Reals'!$I$2:$I$9,BH12)&gt;0,1,0)+IF(COUNTIF('Resultats Reals'!$I$2:$I$9,BI12)&gt;0,1,0)+IF(COUNTIF('Resultats Reals'!$I$2:$I$9,BJ12)&gt;0,1,0)</f>
        <v>0</v>
      </c>
      <c r="BZ12">
        <f>IF(COUNTIF('Resultats Reals'!$K$2:$K$5,BK12)&gt;0,1,0)+IF(COUNTIF('Resultats Reals'!$K$2:$K$5,BL12)&gt;0,1,0)+IF(COUNTIF('Resultats Reals'!$K$2:$K$5,BM12)&gt;0,1,0)+IF(COUNTIF('Resultats Reals'!$K$2:$K$5,BN12)&gt;0,1,0)</f>
        <v>0</v>
      </c>
      <c r="CA12">
        <f>IF(COUNTIF('Resultats Reals'!$M$2:$M$3,BO12)&gt;0,3,0)+IF(COUNTIF('Resultats Reals'!$M$2:$M$3,BP12)&gt;0,3,0)</f>
        <v>0</v>
      </c>
      <c r="CB12">
        <f>IF(BQ12='Resultats Reals'!$N$2,5,0)</f>
        <v>0</v>
      </c>
      <c r="CC12">
        <f>IF(BS12='Resultats Reals'!$O$2,5,0)</f>
        <v>0</v>
      </c>
      <c r="CD12">
        <f>IFERROR(VLOOKUP(BT12,'Resultats Reals'!$R$2:$S$100,2,FALSE),0)</f>
        <v>2</v>
      </c>
      <c r="CE12">
        <f>IF(BR12='Resultats Reals'!$P$2,5,0)</f>
        <v>0</v>
      </c>
      <c r="CF12" s="7">
        <f t="shared" si="0"/>
        <v>42.5</v>
      </c>
    </row>
    <row r="13" spans="1:84" x14ac:dyDescent="0.25">
      <c r="A13" t="s">
        <v>154</v>
      </c>
      <c r="B13" t="s">
        <v>136</v>
      </c>
      <c r="C13" t="s">
        <v>98</v>
      </c>
      <c r="D13" t="s">
        <v>99</v>
      </c>
      <c r="E13" t="s">
        <v>100</v>
      </c>
      <c r="F13" t="s">
        <v>113</v>
      </c>
      <c r="G13" t="s">
        <v>90</v>
      </c>
      <c r="H13" t="s">
        <v>115</v>
      </c>
      <c r="I13" t="s">
        <v>104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86</v>
      </c>
      <c r="P13" t="s">
        <v>87</v>
      </c>
      <c r="Q13" t="s">
        <v>88</v>
      </c>
      <c r="R13" t="s">
        <v>89</v>
      </c>
      <c r="S13" t="s">
        <v>102</v>
      </c>
      <c r="T13" t="s">
        <v>91</v>
      </c>
      <c r="U13" t="s">
        <v>92</v>
      </c>
      <c r="V13" t="s">
        <v>105</v>
      </c>
      <c r="W13" t="s">
        <v>118</v>
      </c>
      <c r="X13" t="s">
        <v>119</v>
      </c>
      <c r="Y13" t="s">
        <v>108</v>
      </c>
      <c r="Z13" t="s">
        <v>121</v>
      </c>
      <c r="AA13" t="s">
        <v>110</v>
      </c>
      <c r="AB13" t="s">
        <v>126</v>
      </c>
      <c r="AC13" t="s">
        <v>112</v>
      </c>
      <c r="AD13" t="s">
        <v>127</v>
      </c>
      <c r="AE13" t="s">
        <v>114</v>
      </c>
      <c r="AF13" t="s">
        <v>103</v>
      </c>
      <c r="AG13" t="s">
        <v>139</v>
      </c>
      <c r="AH13" t="s">
        <v>117</v>
      </c>
      <c r="AI13" t="s">
        <v>106</v>
      </c>
      <c r="AJ13" t="s">
        <v>107</v>
      </c>
      <c r="AK13" t="s">
        <v>128</v>
      </c>
      <c r="AL13" t="s">
        <v>109</v>
      </c>
      <c r="AM13" t="s">
        <v>90</v>
      </c>
      <c r="AN13" t="s">
        <v>94</v>
      </c>
      <c r="AO13" t="s">
        <v>88</v>
      </c>
      <c r="AP13" t="s">
        <v>115</v>
      </c>
      <c r="AQ13" t="s">
        <v>121</v>
      </c>
      <c r="AR13" t="s">
        <v>93</v>
      </c>
      <c r="AS13" t="s">
        <v>113</v>
      </c>
      <c r="AT13" t="s">
        <v>104</v>
      </c>
      <c r="AU13" t="s">
        <v>100</v>
      </c>
      <c r="AV13" t="s">
        <v>118</v>
      </c>
      <c r="AW13" t="s">
        <v>86</v>
      </c>
      <c r="AX13" t="s">
        <v>97</v>
      </c>
      <c r="AY13" t="s">
        <v>95</v>
      </c>
      <c r="AZ13" t="s">
        <v>92</v>
      </c>
      <c r="BA13" t="s">
        <v>96</v>
      </c>
      <c r="BB13" t="s">
        <v>109</v>
      </c>
      <c r="BC13" t="s">
        <v>94</v>
      </c>
      <c r="BD13" t="s">
        <v>115</v>
      </c>
      <c r="BE13" t="s">
        <v>93</v>
      </c>
      <c r="BF13" t="s">
        <v>90</v>
      </c>
      <c r="BG13" t="s">
        <v>100</v>
      </c>
      <c r="BH13" t="s">
        <v>97</v>
      </c>
      <c r="BI13" t="s">
        <v>96</v>
      </c>
      <c r="BJ13" t="s">
        <v>104</v>
      </c>
      <c r="BK13" t="s">
        <v>94</v>
      </c>
      <c r="BL13" t="s">
        <v>93</v>
      </c>
      <c r="BM13" t="s">
        <v>97</v>
      </c>
      <c r="BN13" t="s">
        <v>96</v>
      </c>
      <c r="BO13" t="s">
        <v>93</v>
      </c>
      <c r="BP13" t="s">
        <v>97</v>
      </c>
      <c r="BQ13" t="s">
        <v>93</v>
      </c>
      <c r="BS13" t="s">
        <v>155</v>
      </c>
      <c r="BT13" t="s">
        <v>129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18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12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11.5</v>
      </c>
      <c r="BX13">
        <f>IF(COUNTIF('Resultats Reals'!$G$2:$G$17,AM13)&gt;0,1,0)+IF(COUNTIF('Resultats Reals'!$G$2:$G$17,AN13)&gt;0,1,0)+IF(COUNTIF('Resultats Reals'!$G$2:$G$17,AO13)&gt;0,1,0)+IF(COUNTIF('Resultats Reals'!$G$2:$G$17,AP13)&gt;0,1,0)+IF(COUNTIF('Resultats Reals'!$G$2:$G$17,AQ13)&gt;0,1,0)+IF(COUNTIF('Resultats Reals'!$G$2:$G$17,AR13)&gt;0,1,0)+IF(COUNTIF('Resultats Reals'!$G$2:$G$17,AS13)&gt;0,1,0)+IF(COUNTIF('Resultats Reals'!$G$2:$G$17,AT13)&gt;0,1,0)+IF(COUNTIF('Resultats Reals'!$G$2:$G$17,AU13)&gt;0,1,0)+IF(COUNTIF('Resultats Reals'!$G$2:$G$17,AV13)&gt;0,1,0)+IF(COUNTIF('Resultats Reals'!$G$2:$G$17,AW13)&gt;0,1,0)+IF(COUNTIF('Resultats Reals'!$G$2:$G$17,AX13)&gt;0,1,0)+IF(COUNTIF('Resultats Reals'!$G$2:$G$17,AY13)&gt;0,1,0)+IF(COUNTIF('Resultats Reals'!$G$2:$G$17,AZ13)&gt;0,1,0)+IF(COUNTIF('Resultats Reals'!$G$2:$G$17,BA13)&gt;0,1,0)+IF(COUNTIF('Resultats Reals'!$G$2:$G$17,BB13)&gt;0,1,0)</f>
        <v>0</v>
      </c>
      <c r="BY13">
        <f>IF(COUNTIF('Resultats Reals'!$I$2:$I$9,BC13)&gt;0,1,0)+IF(COUNTIF('Resultats Reals'!$I$2:$I$9,BD13)&gt;0,1,0)+IF(COUNTIF('Resultats Reals'!$I$2:$I$9,BE13)&gt;0,1,0)+IF(COUNTIF('Resultats Reals'!$I$2:$I$9,BF13)&gt;0,1,0)+IF(COUNTIF('Resultats Reals'!$I$2:$I$9,BG13)&gt;0,1,0)+IF(COUNTIF('Resultats Reals'!$I$2:$I$9,BH13)&gt;0,1,0)+IF(COUNTIF('Resultats Reals'!$I$2:$I$9,BI13)&gt;0,1,0)+IF(COUNTIF('Resultats Reals'!$I$2:$I$9,BJ13)&gt;0,1,0)</f>
        <v>0</v>
      </c>
      <c r="BZ13">
        <f>IF(COUNTIF('Resultats Reals'!$K$2:$K$5,BK13)&gt;0,1,0)+IF(COUNTIF('Resultats Reals'!$K$2:$K$5,BL13)&gt;0,1,0)+IF(COUNTIF('Resultats Reals'!$K$2:$K$5,BM13)&gt;0,1,0)+IF(COUNTIF('Resultats Reals'!$K$2:$K$5,BN13)&gt;0,1,0)</f>
        <v>0</v>
      </c>
      <c r="CA13">
        <f>IF(COUNTIF('Resultats Reals'!$M$2:$M$3,BO13)&gt;0,3,0)+IF(COUNTIF('Resultats Reals'!$M$2:$M$3,BP13)&gt;0,3,0)</f>
        <v>0</v>
      </c>
      <c r="CB13">
        <f>IF(BQ13='Resultats Reals'!$N$2,5,0)</f>
        <v>0</v>
      </c>
      <c r="CC13">
        <f>IF(BS13='Resultats Reals'!$O$2,5,0)</f>
        <v>0</v>
      </c>
      <c r="CD13">
        <f>IFERROR(VLOOKUP(BT13,'Resultats Reals'!$R$2:$S$100,2,FALSE),0)</f>
        <v>2</v>
      </c>
      <c r="CE13">
        <f>IF(BR13='Resultats Reals'!$P$2,5,0)</f>
        <v>0</v>
      </c>
      <c r="CF13" s="7">
        <f t="shared" si="0"/>
        <v>43.5</v>
      </c>
    </row>
    <row r="14" spans="1:84" x14ac:dyDescent="0.25">
      <c r="A14" t="s">
        <v>156</v>
      </c>
      <c r="B14" t="s">
        <v>136</v>
      </c>
      <c r="C14" t="s">
        <v>86</v>
      </c>
      <c r="D14" t="s">
        <v>87</v>
      </c>
      <c r="E14" t="s">
        <v>88</v>
      </c>
      <c r="F14" t="s">
        <v>89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126</v>
      </c>
      <c r="Q14" t="s">
        <v>100</v>
      </c>
      <c r="R14" t="s">
        <v>101</v>
      </c>
      <c r="S14" t="s">
        <v>102</v>
      </c>
      <c r="T14" t="s">
        <v>115</v>
      </c>
      <c r="U14" t="s">
        <v>104</v>
      </c>
      <c r="V14" t="s">
        <v>105</v>
      </c>
      <c r="W14" t="s">
        <v>106</v>
      </c>
      <c r="X14" t="s">
        <v>107</v>
      </c>
      <c r="Y14" t="s">
        <v>108</v>
      </c>
      <c r="Z14" t="s">
        <v>109</v>
      </c>
      <c r="AA14" t="s">
        <v>110</v>
      </c>
      <c r="AB14" t="s">
        <v>99</v>
      </c>
      <c r="AC14" t="s">
        <v>112</v>
      </c>
      <c r="AD14" t="s">
        <v>127</v>
      </c>
      <c r="AE14" t="s">
        <v>114</v>
      </c>
      <c r="AF14" t="s">
        <v>103</v>
      </c>
      <c r="AG14" t="s">
        <v>116</v>
      </c>
      <c r="AH14" t="s">
        <v>117</v>
      </c>
      <c r="AI14" t="s">
        <v>118</v>
      </c>
      <c r="AJ14" t="s">
        <v>119</v>
      </c>
      <c r="AK14" t="s">
        <v>120</v>
      </c>
      <c r="AL14" t="s">
        <v>121</v>
      </c>
      <c r="AM14" t="s">
        <v>86</v>
      </c>
      <c r="AN14" t="s">
        <v>100</v>
      </c>
      <c r="AO14" t="s">
        <v>88</v>
      </c>
      <c r="AP14" t="s">
        <v>89</v>
      </c>
      <c r="AQ14" t="s">
        <v>90</v>
      </c>
      <c r="AR14" t="s">
        <v>91</v>
      </c>
      <c r="AS14" t="s">
        <v>92</v>
      </c>
      <c r="AT14" t="s">
        <v>93</v>
      </c>
      <c r="AU14" t="s">
        <v>94</v>
      </c>
      <c r="AV14" t="s">
        <v>95</v>
      </c>
      <c r="AW14" t="s">
        <v>96</v>
      </c>
      <c r="AX14" t="s">
        <v>97</v>
      </c>
      <c r="AY14" t="s">
        <v>115</v>
      </c>
      <c r="AZ14" t="s">
        <v>105</v>
      </c>
      <c r="BA14" t="s">
        <v>108</v>
      </c>
      <c r="BB14" t="s">
        <v>109</v>
      </c>
      <c r="BC14" t="s">
        <v>88</v>
      </c>
      <c r="BD14" t="s">
        <v>90</v>
      </c>
      <c r="BE14" t="s">
        <v>91</v>
      </c>
      <c r="BF14" t="s">
        <v>93</v>
      </c>
      <c r="BG14" t="s">
        <v>94</v>
      </c>
      <c r="BH14" t="s">
        <v>95</v>
      </c>
      <c r="BI14" t="s">
        <v>96</v>
      </c>
      <c r="BJ14" t="s">
        <v>97</v>
      </c>
      <c r="BK14" t="s">
        <v>88</v>
      </c>
      <c r="BL14" t="s">
        <v>93</v>
      </c>
      <c r="BM14" t="s">
        <v>95</v>
      </c>
      <c r="BN14" t="s">
        <v>97</v>
      </c>
      <c r="BO14" t="s">
        <v>93</v>
      </c>
      <c r="BP14" t="s">
        <v>95</v>
      </c>
      <c r="BQ14" t="s">
        <v>93</v>
      </c>
      <c r="BS14" t="s">
        <v>122</v>
      </c>
      <c r="BT14" t="s">
        <v>122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20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14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13</v>
      </c>
      <c r="BX14">
        <f>IF(COUNTIF('Resultats Reals'!$G$2:$G$17,AM14)&gt;0,1,0)+IF(COUNTIF('Resultats Reals'!$G$2:$G$17,AN14)&gt;0,1,0)+IF(COUNTIF('Resultats Reals'!$G$2:$G$17,AO14)&gt;0,1,0)+IF(COUNTIF('Resultats Reals'!$G$2:$G$17,AP14)&gt;0,1,0)+IF(COUNTIF('Resultats Reals'!$G$2:$G$17,AQ14)&gt;0,1,0)+IF(COUNTIF('Resultats Reals'!$G$2:$G$17,AR14)&gt;0,1,0)+IF(COUNTIF('Resultats Reals'!$G$2:$G$17,AS14)&gt;0,1,0)+IF(COUNTIF('Resultats Reals'!$G$2:$G$17,AT14)&gt;0,1,0)+IF(COUNTIF('Resultats Reals'!$G$2:$G$17,AU14)&gt;0,1,0)+IF(COUNTIF('Resultats Reals'!$G$2:$G$17,AV14)&gt;0,1,0)+IF(COUNTIF('Resultats Reals'!$G$2:$G$17,AW14)&gt;0,1,0)+IF(COUNTIF('Resultats Reals'!$G$2:$G$17,AX14)&gt;0,1,0)+IF(COUNTIF('Resultats Reals'!$G$2:$G$17,AY14)&gt;0,1,0)+IF(COUNTIF('Resultats Reals'!$G$2:$G$17,AZ14)&gt;0,1,0)+IF(COUNTIF('Resultats Reals'!$G$2:$G$17,BA14)&gt;0,1,0)+IF(COUNTIF('Resultats Reals'!$G$2:$G$17,BB14)&gt;0,1,0)</f>
        <v>0</v>
      </c>
      <c r="BY14">
        <f>IF(COUNTIF('Resultats Reals'!$I$2:$I$9,BC14)&gt;0,1,0)+IF(COUNTIF('Resultats Reals'!$I$2:$I$9,BD14)&gt;0,1,0)+IF(COUNTIF('Resultats Reals'!$I$2:$I$9,BE14)&gt;0,1,0)+IF(COUNTIF('Resultats Reals'!$I$2:$I$9,BF14)&gt;0,1,0)+IF(COUNTIF('Resultats Reals'!$I$2:$I$9,BG14)&gt;0,1,0)+IF(COUNTIF('Resultats Reals'!$I$2:$I$9,BH14)&gt;0,1,0)+IF(COUNTIF('Resultats Reals'!$I$2:$I$9,BI14)&gt;0,1,0)+IF(COUNTIF('Resultats Reals'!$I$2:$I$9,BJ14)&gt;0,1,0)</f>
        <v>0</v>
      </c>
      <c r="BZ14">
        <f>IF(COUNTIF('Resultats Reals'!$K$2:$K$5,BK14)&gt;0,1,0)+IF(COUNTIF('Resultats Reals'!$K$2:$K$5,BL14)&gt;0,1,0)+IF(COUNTIF('Resultats Reals'!$K$2:$K$5,BM14)&gt;0,1,0)+IF(COUNTIF('Resultats Reals'!$K$2:$K$5,BN14)&gt;0,1,0)</f>
        <v>0</v>
      </c>
      <c r="CA14">
        <f>IF(COUNTIF('Resultats Reals'!$M$2:$M$3,BO14)&gt;0,3,0)+IF(COUNTIF('Resultats Reals'!$M$2:$M$3,BP14)&gt;0,3,0)</f>
        <v>0</v>
      </c>
      <c r="CB14">
        <f>IF(BQ14='Resultats Reals'!$N$2,5,0)</f>
        <v>0</v>
      </c>
      <c r="CC14">
        <f>IF(BS14='Resultats Reals'!$O$2,5,0)</f>
        <v>0</v>
      </c>
      <c r="CD14">
        <f>IFERROR(VLOOKUP(BT14,'Resultats Reals'!$R$2:$S$100,2,FALSE),0)</f>
        <v>0</v>
      </c>
      <c r="CE14">
        <f>IF(BR14='Resultats Reals'!$P$2,5,0)</f>
        <v>0</v>
      </c>
      <c r="CF14" s="7">
        <f t="shared" si="0"/>
        <v>47</v>
      </c>
    </row>
    <row r="15" spans="1:84" x14ac:dyDescent="0.25">
      <c r="A15" t="s">
        <v>157</v>
      </c>
      <c r="B15" t="s">
        <v>136</v>
      </c>
      <c r="C15" t="s">
        <v>86</v>
      </c>
      <c r="D15" t="s">
        <v>87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108</v>
      </c>
      <c r="N15" t="s">
        <v>97</v>
      </c>
      <c r="O15" t="s">
        <v>98</v>
      </c>
      <c r="P15" t="s">
        <v>111</v>
      </c>
      <c r="Q15" t="s">
        <v>100</v>
      </c>
      <c r="R15" t="s">
        <v>89</v>
      </c>
      <c r="S15" t="s">
        <v>102</v>
      </c>
      <c r="T15" t="s">
        <v>115</v>
      </c>
      <c r="U15" t="s">
        <v>116</v>
      </c>
      <c r="V15" t="s">
        <v>105</v>
      </c>
      <c r="W15" t="s">
        <v>118</v>
      </c>
      <c r="X15" t="s">
        <v>107</v>
      </c>
      <c r="Y15" t="s">
        <v>96</v>
      </c>
      <c r="Z15" t="s">
        <v>109</v>
      </c>
      <c r="AA15" t="s">
        <v>110</v>
      </c>
      <c r="AB15" t="s">
        <v>99</v>
      </c>
      <c r="AC15" t="s">
        <v>112</v>
      </c>
      <c r="AD15" t="s">
        <v>113</v>
      </c>
      <c r="AE15" t="s">
        <v>114</v>
      </c>
      <c r="AF15" t="s">
        <v>103</v>
      </c>
      <c r="AG15" t="s">
        <v>104</v>
      </c>
      <c r="AH15" t="s">
        <v>117</v>
      </c>
      <c r="AI15" t="s">
        <v>106</v>
      </c>
      <c r="AJ15" t="s">
        <v>119</v>
      </c>
      <c r="AK15" t="s">
        <v>120</v>
      </c>
      <c r="AL15" t="s">
        <v>145</v>
      </c>
      <c r="AM15" t="s">
        <v>86</v>
      </c>
      <c r="AN15" t="s">
        <v>87</v>
      </c>
      <c r="AO15" t="s">
        <v>88</v>
      </c>
      <c r="AP15" t="s">
        <v>101</v>
      </c>
      <c r="AQ15" t="s">
        <v>90</v>
      </c>
      <c r="AR15" t="s">
        <v>91</v>
      </c>
      <c r="AS15" t="s">
        <v>92</v>
      </c>
      <c r="AT15" t="s">
        <v>93</v>
      </c>
      <c r="AU15" t="s">
        <v>94</v>
      </c>
      <c r="AV15" t="s">
        <v>95</v>
      </c>
      <c r="AW15" t="s">
        <v>108</v>
      </c>
      <c r="AX15" t="s">
        <v>97</v>
      </c>
      <c r="AY15" t="s">
        <v>96</v>
      </c>
      <c r="AZ15" t="s">
        <v>109</v>
      </c>
      <c r="BA15" t="s">
        <v>100</v>
      </c>
      <c r="BB15" t="s">
        <v>89</v>
      </c>
      <c r="BC15" t="s">
        <v>87</v>
      </c>
      <c r="BD15" t="s">
        <v>88</v>
      </c>
      <c r="BE15" t="s">
        <v>91</v>
      </c>
      <c r="BF15" t="s">
        <v>93</v>
      </c>
      <c r="BG15" t="s">
        <v>95</v>
      </c>
      <c r="BH15" t="s">
        <v>97</v>
      </c>
      <c r="BI15" t="s">
        <v>96</v>
      </c>
      <c r="BJ15" t="s">
        <v>100</v>
      </c>
      <c r="BK15" t="s">
        <v>88</v>
      </c>
      <c r="BL15" t="s">
        <v>93</v>
      </c>
      <c r="BM15" t="s">
        <v>95</v>
      </c>
      <c r="BN15" t="s">
        <v>100</v>
      </c>
      <c r="BO15" t="s">
        <v>93</v>
      </c>
      <c r="BP15" t="s">
        <v>95</v>
      </c>
      <c r="BQ15" t="s">
        <v>95</v>
      </c>
      <c r="BS15" t="s">
        <v>158</v>
      </c>
      <c r="BT15" t="s">
        <v>146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19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17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11.5</v>
      </c>
      <c r="BX15">
        <f>IF(COUNTIF('Resultats Reals'!$G$2:$G$17,AM15)&gt;0,1,0)+IF(COUNTIF('Resultats Reals'!$G$2:$G$17,AN15)&gt;0,1,0)+IF(COUNTIF('Resultats Reals'!$G$2:$G$17,AO15)&gt;0,1,0)+IF(COUNTIF('Resultats Reals'!$G$2:$G$17,AP15)&gt;0,1,0)+IF(COUNTIF('Resultats Reals'!$G$2:$G$17,AQ15)&gt;0,1,0)+IF(COUNTIF('Resultats Reals'!$G$2:$G$17,AR15)&gt;0,1,0)+IF(COUNTIF('Resultats Reals'!$G$2:$G$17,AS15)&gt;0,1,0)+IF(COUNTIF('Resultats Reals'!$G$2:$G$17,AT15)&gt;0,1,0)+IF(COUNTIF('Resultats Reals'!$G$2:$G$17,AU15)&gt;0,1,0)+IF(COUNTIF('Resultats Reals'!$G$2:$G$17,AV15)&gt;0,1,0)+IF(COUNTIF('Resultats Reals'!$G$2:$G$17,AW15)&gt;0,1,0)+IF(COUNTIF('Resultats Reals'!$G$2:$G$17,AX15)&gt;0,1,0)+IF(COUNTIF('Resultats Reals'!$G$2:$G$17,AY15)&gt;0,1,0)+IF(COUNTIF('Resultats Reals'!$G$2:$G$17,AZ15)&gt;0,1,0)+IF(COUNTIF('Resultats Reals'!$G$2:$G$17,BA15)&gt;0,1,0)+IF(COUNTIF('Resultats Reals'!$G$2:$G$17,BB15)&gt;0,1,0)</f>
        <v>0</v>
      </c>
      <c r="BY15">
        <f>IF(COUNTIF('Resultats Reals'!$I$2:$I$9,BC15)&gt;0,1,0)+IF(COUNTIF('Resultats Reals'!$I$2:$I$9,BD15)&gt;0,1,0)+IF(COUNTIF('Resultats Reals'!$I$2:$I$9,BE15)&gt;0,1,0)+IF(COUNTIF('Resultats Reals'!$I$2:$I$9,BF15)&gt;0,1,0)+IF(COUNTIF('Resultats Reals'!$I$2:$I$9,BG15)&gt;0,1,0)+IF(COUNTIF('Resultats Reals'!$I$2:$I$9,BH15)&gt;0,1,0)+IF(COUNTIF('Resultats Reals'!$I$2:$I$9,BI15)&gt;0,1,0)+IF(COUNTIF('Resultats Reals'!$I$2:$I$9,BJ15)&gt;0,1,0)</f>
        <v>0</v>
      </c>
      <c r="BZ15">
        <f>IF(COUNTIF('Resultats Reals'!$K$2:$K$5,BK15)&gt;0,1,0)+IF(COUNTIF('Resultats Reals'!$K$2:$K$5,BL15)&gt;0,1,0)+IF(COUNTIF('Resultats Reals'!$K$2:$K$5,BM15)&gt;0,1,0)+IF(COUNTIF('Resultats Reals'!$K$2:$K$5,BN15)&gt;0,1,0)</f>
        <v>0</v>
      </c>
      <c r="CA15">
        <f>IF(COUNTIF('Resultats Reals'!$M$2:$M$3,BO15)&gt;0,3,0)+IF(COUNTIF('Resultats Reals'!$M$2:$M$3,BP15)&gt;0,3,0)</f>
        <v>0</v>
      </c>
      <c r="CB15">
        <f>IF(BQ15='Resultats Reals'!$N$2,5,0)</f>
        <v>0</v>
      </c>
      <c r="CC15">
        <f>IF(BS15='Resultats Reals'!$O$2,5,0)</f>
        <v>0</v>
      </c>
      <c r="CD15">
        <f>IFERROR(VLOOKUP(BT15,'Resultats Reals'!$R$2:$S$100,2,FALSE),0)</f>
        <v>0</v>
      </c>
      <c r="CE15">
        <f>IF(BR15='Resultats Reals'!$P$2,5,0)</f>
        <v>0</v>
      </c>
      <c r="CF15" s="7">
        <f t="shared" si="0"/>
        <v>47.5</v>
      </c>
    </row>
    <row r="16" spans="1:84" x14ac:dyDescent="0.25">
      <c r="A16" t="s">
        <v>159</v>
      </c>
      <c r="B16" t="s">
        <v>136</v>
      </c>
      <c r="C16" t="s">
        <v>86</v>
      </c>
      <c r="D16" t="s">
        <v>87</v>
      </c>
      <c r="E16" t="s">
        <v>88</v>
      </c>
      <c r="F16" t="s">
        <v>89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108</v>
      </c>
      <c r="N16" t="s">
        <v>97</v>
      </c>
      <c r="O16" t="s">
        <v>110</v>
      </c>
      <c r="P16" t="s">
        <v>99</v>
      </c>
      <c r="Q16" t="s">
        <v>100</v>
      </c>
      <c r="R16" t="s">
        <v>101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107</v>
      </c>
      <c r="Y16" t="s">
        <v>96</v>
      </c>
      <c r="Z16" t="s">
        <v>109</v>
      </c>
      <c r="AA16" t="s">
        <v>98</v>
      </c>
      <c r="AB16" t="s">
        <v>111</v>
      </c>
      <c r="AC16" t="s">
        <v>112</v>
      </c>
      <c r="AD16" t="s">
        <v>113</v>
      </c>
      <c r="AE16" t="s">
        <v>114</v>
      </c>
      <c r="AF16" t="s">
        <v>103</v>
      </c>
      <c r="AG16" t="s">
        <v>139</v>
      </c>
      <c r="AH16" t="s">
        <v>117</v>
      </c>
      <c r="AI16" t="s">
        <v>106</v>
      </c>
      <c r="AJ16" t="s">
        <v>119</v>
      </c>
      <c r="AK16" t="s">
        <v>128</v>
      </c>
      <c r="AL16" t="s">
        <v>145</v>
      </c>
      <c r="AM16" t="s">
        <v>88</v>
      </c>
      <c r="AN16" t="s">
        <v>95</v>
      </c>
      <c r="AO16" t="s">
        <v>93</v>
      </c>
      <c r="AP16" t="s">
        <v>100</v>
      </c>
      <c r="AQ16" t="s">
        <v>108</v>
      </c>
      <c r="AR16" t="s">
        <v>94</v>
      </c>
      <c r="AS16" t="s">
        <v>90</v>
      </c>
      <c r="AT16" t="s">
        <v>96</v>
      </c>
      <c r="AU16" t="s">
        <v>97</v>
      </c>
      <c r="AV16" t="s">
        <v>91</v>
      </c>
      <c r="AW16" t="s">
        <v>92</v>
      </c>
      <c r="AX16" t="s">
        <v>105</v>
      </c>
      <c r="AY16" t="s">
        <v>115</v>
      </c>
      <c r="AZ16" t="s">
        <v>109</v>
      </c>
      <c r="BA16" t="s">
        <v>89</v>
      </c>
      <c r="BB16" t="s">
        <v>86</v>
      </c>
      <c r="BC16" t="s">
        <v>95</v>
      </c>
      <c r="BD16" t="s">
        <v>94</v>
      </c>
      <c r="BE16" t="s">
        <v>93</v>
      </c>
      <c r="BF16" t="s">
        <v>91</v>
      </c>
      <c r="BG16" t="s">
        <v>97</v>
      </c>
      <c r="BH16" t="s">
        <v>88</v>
      </c>
      <c r="BI16" t="s">
        <v>96</v>
      </c>
      <c r="BJ16" t="s">
        <v>105</v>
      </c>
      <c r="BK16" t="s">
        <v>95</v>
      </c>
      <c r="BL16" t="s">
        <v>94</v>
      </c>
      <c r="BM16" t="s">
        <v>91</v>
      </c>
      <c r="BN16" t="s">
        <v>93</v>
      </c>
      <c r="BO16" t="s">
        <v>93</v>
      </c>
      <c r="BP16" t="s">
        <v>95</v>
      </c>
      <c r="BQ16" t="s">
        <v>93</v>
      </c>
      <c r="BS16" t="s">
        <v>151</v>
      </c>
      <c r="BT16" t="s">
        <v>146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15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9.5</v>
      </c>
      <c r="BX16">
        <f>IF(COUNTIF('Resultats Reals'!$G$2:$G$17,AM16)&gt;0,1,0)+IF(COUNTIF('Resultats Reals'!$G$2:$G$17,AN16)&gt;0,1,0)+IF(COUNTIF('Resultats Reals'!$G$2:$G$17,AO16)&gt;0,1,0)+IF(COUNTIF('Resultats Reals'!$G$2:$G$17,AP16)&gt;0,1,0)+IF(COUNTIF('Resultats Reals'!$G$2:$G$17,AQ16)&gt;0,1,0)+IF(COUNTIF('Resultats Reals'!$G$2:$G$17,AR16)&gt;0,1,0)+IF(COUNTIF('Resultats Reals'!$G$2:$G$17,AS16)&gt;0,1,0)+IF(COUNTIF('Resultats Reals'!$G$2:$G$17,AT16)&gt;0,1,0)+IF(COUNTIF('Resultats Reals'!$G$2:$G$17,AU16)&gt;0,1,0)+IF(COUNTIF('Resultats Reals'!$G$2:$G$17,AV16)&gt;0,1,0)+IF(COUNTIF('Resultats Reals'!$G$2:$G$17,AW16)&gt;0,1,0)+IF(COUNTIF('Resultats Reals'!$G$2:$G$17,AX16)&gt;0,1,0)+IF(COUNTIF('Resultats Reals'!$G$2:$G$17,AY16)&gt;0,1,0)+IF(COUNTIF('Resultats Reals'!$G$2:$G$17,AZ16)&gt;0,1,0)+IF(COUNTIF('Resultats Reals'!$G$2:$G$17,BA16)&gt;0,1,0)+IF(COUNTIF('Resultats Reals'!$G$2:$G$17,BB16)&gt;0,1,0)</f>
        <v>0</v>
      </c>
      <c r="BY16">
        <f>IF(COUNTIF('Resultats Reals'!$I$2:$I$9,BC16)&gt;0,1,0)+IF(COUNTIF('Resultats Reals'!$I$2:$I$9,BD16)&gt;0,1,0)+IF(COUNTIF('Resultats Reals'!$I$2:$I$9,BE16)&gt;0,1,0)+IF(COUNTIF('Resultats Reals'!$I$2:$I$9,BF16)&gt;0,1,0)+IF(COUNTIF('Resultats Reals'!$I$2:$I$9,BG16)&gt;0,1,0)+IF(COUNTIF('Resultats Reals'!$I$2:$I$9,BH16)&gt;0,1,0)+IF(COUNTIF('Resultats Reals'!$I$2:$I$9,BI16)&gt;0,1,0)+IF(COUNTIF('Resultats Reals'!$I$2:$I$9,BJ16)&gt;0,1,0)</f>
        <v>0</v>
      </c>
      <c r="BZ16">
        <f>IF(COUNTIF('Resultats Reals'!$K$2:$K$5,BK16)&gt;0,1,0)+IF(COUNTIF('Resultats Reals'!$K$2:$K$5,BL16)&gt;0,1,0)+IF(COUNTIF('Resultats Reals'!$K$2:$K$5,BM16)&gt;0,1,0)+IF(COUNTIF('Resultats Reals'!$K$2:$K$5,BN16)&gt;0,1,0)</f>
        <v>0</v>
      </c>
      <c r="CA16">
        <f>IF(COUNTIF('Resultats Reals'!$M$2:$M$3,BO16)&gt;0,3,0)+IF(COUNTIF('Resultats Reals'!$M$2:$M$3,BP16)&gt;0,3,0)</f>
        <v>0</v>
      </c>
      <c r="CB16">
        <f>IF(BQ16='Resultats Reals'!$N$2,5,0)</f>
        <v>0</v>
      </c>
      <c r="CC16">
        <f>IF(BS16='Resultats Reals'!$O$2,5,0)</f>
        <v>0</v>
      </c>
      <c r="CD16">
        <f>IFERROR(VLOOKUP(BT16,'Resultats Reals'!$R$2:$S$100,2,FALSE),0)</f>
        <v>0</v>
      </c>
      <c r="CE16">
        <f>IF(BR16='Resultats Reals'!$P$2,5,0)</f>
        <v>0</v>
      </c>
      <c r="CF16" s="7">
        <f t="shared" si="0"/>
        <v>45.5</v>
      </c>
    </row>
    <row r="17" spans="1:84" x14ac:dyDescent="0.25">
      <c r="A17" t="s">
        <v>160</v>
      </c>
      <c r="B17" t="s">
        <v>141</v>
      </c>
      <c r="C17" t="s">
        <v>86</v>
      </c>
      <c r="D17" t="s">
        <v>99</v>
      </c>
      <c r="E17" t="s">
        <v>88</v>
      </c>
      <c r="F17" t="s">
        <v>113</v>
      </c>
      <c r="G17" t="s">
        <v>90</v>
      </c>
      <c r="H17" t="s">
        <v>91</v>
      </c>
      <c r="I17" t="s">
        <v>139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131</v>
      </c>
      <c r="P17" t="s">
        <v>87</v>
      </c>
      <c r="Q17" t="s">
        <v>112</v>
      </c>
      <c r="R17" t="s">
        <v>101</v>
      </c>
      <c r="S17" t="s">
        <v>102</v>
      </c>
      <c r="T17" t="s">
        <v>103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145</v>
      </c>
      <c r="AA17" t="s">
        <v>110</v>
      </c>
      <c r="AB17" t="s">
        <v>126</v>
      </c>
      <c r="AC17" t="s">
        <v>100</v>
      </c>
      <c r="AD17" t="s">
        <v>127</v>
      </c>
      <c r="AE17" t="s">
        <v>114</v>
      </c>
      <c r="AF17" t="s">
        <v>115</v>
      </c>
      <c r="AG17" t="s">
        <v>104</v>
      </c>
      <c r="AH17" t="s">
        <v>117</v>
      </c>
      <c r="AI17" t="s">
        <v>106</v>
      </c>
      <c r="AJ17" t="s">
        <v>107</v>
      </c>
      <c r="AK17" t="s">
        <v>128</v>
      </c>
      <c r="AL17" t="s">
        <v>121</v>
      </c>
      <c r="AM17" t="s">
        <v>88</v>
      </c>
      <c r="AN17" t="s">
        <v>93</v>
      </c>
      <c r="AO17" t="s">
        <v>94</v>
      </c>
      <c r="AP17" t="s">
        <v>95</v>
      </c>
      <c r="AQ17" t="s">
        <v>90</v>
      </c>
      <c r="AR17" t="s">
        <v>91</v>
      </c>
      <c r="AS17" t="s">
        <v>97</v>
      </c>
      <c r="AT17" t="s">
        <v>118</v>
      </c>
      <c r="AU17" t="s">
        <v>105</v>
      </c>
      <c r="AV17" t="s">
        <v>121</v>
      </c>
      <c r="AW17" t="s">
        <v>86</v>
      </c>
      <c r="AX17" t="s">
        <v>108</v>
      </c>
      <c r="AY17" t="s">
        <v>106</v>
      </c>
      <c r="AZ17" t="s">
        <v>102</v>
      </c>
      <c r="BA17" t="s">
        <v>96</v>
      </c>
      <c r="BB17" t="s">
        <v>145</v>
      </c>
      <c r="BC17" t="s">
        <v>88</v>
      </c>
      <c r="BD17" t="s">
        <v>93</v>
      </c>
      <c r="BE17" t="s">
        <v>94</v>
      </c>
      <c r="BF17" t="s">
        <v>95</v>
      </c>
      <c r="BG17" t="s">
        <v>90</v>
      </c>
      <c r="BH17" t="s">
        <v>91</v>
      </c>
      <c r="BI17" t="s">
        <v>97</v>
      </c>
      <c r="BJ17" t="s">
        <v>118</v>
      </c>
      <c r="BK17" t="s">
        <v>88</v>
      </c>
      <c r="BL17" t="s">
        <v>93</v>
      </c>
      <c r="BM17" t="s">
        <v>94</v>
      </c>
      <c r="BN17" t="s">
        <v>118</v>
      </c>
      <c r="BO17" t="s">
        <v>88</v>
      </c>
      <c r="BP17" t="s">
        <v>93</v>
      </c>
      <c r="BQ17" t="s">
        <v>88</v>
      </c>
      <c r="BS17" t="s">
        <v>161</v>
      </c>
      <c r="BT17" t="s">
        <v>162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19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9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11.5</v>
      </c>
      <c r="BX17">
        <f>IF(COUNTIF('Resultats Reals'!$G$2:$G$17,AM17)&gt;0,1,0)+IF(COUNTIF('Resultats Reals'!$G$2:$G$17,AN17)&gt;0,1,0)+IF(COUNTIF('Resultats Reals'!$G$2:$G$17,AO17)&gt;0,1,0)+IF(COUNTIF('Resultats Reals'!$G$2:$G$17,AP17)&gt;0,1,0)+IF(COUNTIF('Resultats Reals'!$G$2:$G$17,AQ17)&gt;0,1,0)+IF(COUNTIF('Resultats Reals'!$G$2:$G$17,AR17)&gt;0,1,0)+IF(COUNTIF('Resultats Reals'!$G$2:$G$17,AS17)&gt;0,1,0)+IF(COUNTIF('Resultats Reals'!$G$2:$G$17,AT17)&gt;0,1,0)+IF(COUNTIF('Resultats Reals'!$G$2:$G$17,AU17)&gt;0,1,0)+IF(COUNTIF('Resultats Reals'!$G$2:$G$17,AV17)&gt;0,1,0)+IF(COUNTIF('Resultats Reals'!$G$2:$G$17,AW17)&gt;0,1,0)+IF(COUNTIF('Resultats Reals'!$G$2:$G$17,AX17)&gt;0,1,0)+IF(COUNTIF('Resultats Reals'!$G$2:$G$17,AY17)&gt;0,1,0)+IF(COUNTIF('Resultats Reals'!$G$2:$G$17,AZ17)&gt;0,1,0)+IF(COUNTIF('Resultats Reals'!$G$2:$G$17,BA17)&gt;0,1,0)+IF(COUNTIF('Resultats Reals'!$G$2:$G$17,BB17)&gt;0,1,0)</f>
        <v>0</v>
      </c>
      <c r="BY17">
        <f>IF(COUNTIF('Resultats Reals'!$I$2:$I$9,BC17)&gt;0,1,0)+IF(COUNTIF('Resultats Reals'!$I$2:$I$9,BD17)&gt;0,1,0)+IF(COUNTIF('Resultats Reals'!$I$2:$I$9,BE17)&gt;0,1,0)+IF(COUNTIF('Resultats Reals'!$I$2:$I$9,BF17)&gt;0,1,0)+IF(COUNTIF('Resultats Reals'!$I$2:$I$9,BG17)&gt;0,1,0)+IF(COUNTIF('Resultats Reals'!$I$2:$I$9,BH17)&gt;0,1,0)+IF(COUNTIF('Resultats Reals'!$I$2:$I$9,BI17)&gt;0,1,0)+IF(COUNTIF('Resultats Reals'!$I$2:$I$9,BJ17)&gt;0,1,0)</f>
        <v>0</v>
      </c>
      <c r="BZ17">
        <f>IF(COUNTIF('Resultats Reals'!$K$2:$K$5,BK17)&gt;0,1,0)+IF(COUNTIF('Resultats Reals'!$K$2:$K$5,BL17)&gt;0,1,0)+IF(COUNTIF('Resultats Reals'!$K$2:$K$5,BM17)&gt;0,1,0)+IF(COUNTIF('Resultats Reals'!$K$2:$K$5,BN17)&gt;0,1,0)</f>
        <v>0</v>
      </c>
      <c r="CA17">
        <f>IF(COUNTIF('Resultats Reals'!$M$2:$M$3,BO17)&gt;0,3,0)+IF(COUNTIF('Resultats Reals'!$M$2:$M$3,BP17)&gt;0,3,0)</f>
        <v>0</v>
      </c>
      <c r="CB17">
        <f>IF(BQ17='Resultats Reals'!$N$2,5,0)</f>
        <v>0</v>
      </c>
      <c r="CC17">
        <f>IF(BS17='Resultats Reals'!$O$2,5,0)</f>
        <v>0</v>
      </c>
      <c r="CD17">
        <f>IFERROR(VLOOKUP(BT17,'Resultats Reals'!$R$2:$S$100,2,FALSE),0)</f>
        <v>2</v>
      </c>
      <c r="CE17">
        <f>IF(BR17='Resultats Reals'!$P$2,5,0)</f>
        <v>0</v>
      </c>
      <c r="CF17" s="7">
        <f t="shared" si="0"/>
        <v>41.5</v>
      </c>
    </row>
    <row r="18" spans="1:84" x14ac:dyDescent="0.25">
      <c r="A18" t="s">
        <v>163</v>
      </c>
      <c r="B18" t="s">
        <v>164</v>
      </c>
      <c r="C18" t="s">
        <v>86</v>
      </c>
      <c r="D18" t="s">
        <v>87</v>
      </c>
      <c r="E18" t="s">
        <v>88</v>
      </c>
      <c r="F18" t="s">
        <v>101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99</v>
      </c>
      <c r="Q18" t="s">
        <v>100</v>
      </c>
      <c r="R18" t="s">
        <v>89</v>
      </c>
      <c r="S18" t="s">
        <v>102</v>
      </c>
      <c r="T18" t="s">
        <v>115</v>
      </c>
      <c r="U18" t="s">
        <v>104</v>
      </c>
      <c r="V18" t="s">
        <v>105</v>
      </c>
      <c r="W18" t="s">
        <v>106</v>
      </c>
      <c r="X18" t="s">
        <v>119</v>
      </c>
      <c r="Y18" t="s">
        <v>108</v>
      </c>
      <c r="Z18" t="s">
        <v>109</v>
      </c>
      <c r="AA18" t="s">
        <v>131</v>
      </c>
      <c r="AB18" t="s">
        <v>111</v>
      </c>
      <c r="AC18" t="s">
        <v>112</v>
      </c>
      <c r="AD18" t="s">
        <v>127</v>
      </c>
      <c r="AE18" t="s">
        <v>114</v>
      </c>
      <c r="AF18" t="s">
        <v>103</v>
      </c>
      <c r="AG18" t="s">
        <v>116</v>
      </c>
      <c r="AH18" t="s">
        <v>117</v>
      </c>
      <c r="AI18" t="s">
        <v>118</v>
      </c>
      <c r="AJ18" t="s">
        <v>144</v>
      </c>
      <c r="AK18" t="s">
        <v>120</v>
      </c>
      <c r="AL18" t="s">
        <v>145</v>
      </c>
      <c r="AM18" t="s">
        <v>90</v>
      </c>
      <c r="AN18" t="s">
        <v>88</v>
      </c>
      <c r="AO18" t="s">
        <v>95</v>
      </c>
      <c r="AP18" t="s">
        <v>93</v>
      </c>
      <c r="AQ18" t="s">
        <v>91</v>
      </c>
      <c r="AR18" t="s">
        <v>94</v>
      </c>
      <c r="AS18" t="s">
        <v>97</v>
      </c>
      <c r="AT18" t="s">
        <v>100</v>
      </c>
      <c r="AU18" t="s">
        <v>108</v>
      </c>
      <c r="AV18" t="s">
        <v>86</v>
      </c>
      <c r="AW18" t="s">
        <v>105</v>
      </c>
      <c r="AX18" t="s">
        <v>114</v>
      </c>
      <c r="AY18" t="s">
        <v>102</v>
      </c>
      <c r="AZ18" t="s">
        <v>115</v>
      </c>
      <c r="BA18" t="s">
        <v>96</v>
      </c>
      <c r="BB18" t="s">
        <v>109</v>
      </c>
      <c r="BC18" t="s">
        <v>95</v>
      </c>
      <c r="BD18" t="s">
        <v>93</v>
      </c>
      <c r="BE18" t="s">
        <v>96</v>
      </c>
      <c r="BF18" t="s">
        <v>94</v>
      </c>
      <c r="BG18" t="s">
        <v>91</v>
      </c>
      <c r="BH18" t="s">
        <v>97</v>
      </c>
      <c r="BI18" t="s">
        <v>88</v>
      </c>
      <c r="BJ18" t="s">
        <v>108</v>
      </c>
      <c r="BK18" t="s">
        <v>93</v>
      </c>
      <c r="BL18" t="s">
        <v>95</v>
      </c>
      <c r="BM18" t="s">
        <v>94</v>
      </c>
      <c r="BN18" t="s">
        <v>96</v>
      </c>
      <c r="BO18" t="s">
        <v>93</v>
      </c>
      <c r="BP18" t="s">
        <v>94</v>
      </c>
      <c r="BQ18" t="s">
        <v>94</v>
      </c>
      <c r="BR18" s="6" t="s">
        <v>165</v>
      </c>
      <c r="BS18" t="s">
        <v>122</v>
      </c>
      <c r="BT18" t="s">
        <v>129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18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14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8.5</v>
      </c>
      <c r="BX18">
        <f>IF(COUNTIF('Resultats Reals'!$G$2:$G$17,AM18)&gt;0,1,0)+IF(COUNTIF('Resultats Reals'!$G$2:$G$17,AN18)&gt;0,1,0)+IF(COUNTIF('Resultats Reals'!$G$2:$G$17,AO18)&gt;0,1,0)+IF(COUNTIF('Resultats Reals'!$G$2:$G$17,AP18)&gt;0,1,0)+IF(COUNTIF('Resultats Reals'!$G$2:$G$17,AQ18)&gt;0,1,0)+IF(COUNTIF('Resultats Reals'!$G$2:$G$17,AR18)&gt;0,1,0)+IF(COUNTIF('Resultats Reals'!$G$2:$G$17,AS18)&gt;0,1,0)+IF(COUNTIF('Resultats Reals'!$G$2:$G$17,AT18)&gt;0,1,0)+IF(COUNTIF('Resultats Reals'!$G$2:$G$17,AU18)&gt;0,1,0)+IF(COUNTIF('Resultats Reals'!$G$2:$G$17,AV18)&gt;0,1,0)+IF(COUNTIF('Resultats Reals'!$G$2:$G$17,AW18)&gt;0,1,0)+IF(COUNTIF('Resultats Reals'!$G$2:$G$17,AX18)&gt;0,1,0)+IF(COUNTIF('Resultats Reals'!$G$2:$G$17,AY18)&gt;0,1,0)+IF(COUNTIF('Resultats Reals'!$G$2:$G$17,AZ18)&gt;0,1,0)+IF(COUNTIF('Resultats Reals'!$G$2:$G$17,BA18)&gt;0,1,0)+IF(COUNTIF('Resultats Reals'!$G$2:$G$17,BB18)&gt;0,1,0)</f>
        <v>0</v>
      </c>
      <c r="BY18">
        <f>IF(COUNTIF('Resultats Reals'!$I$2:$I$9,BC18)&gt;0,1,0)+IF(COUNTIF('Resultats Reals'!$I$2:$I$9,BD18)&gt;0,1,0)+IF(COUNTIF('Resultats Reals'!$I$2:$I$9,BE18)&gt;0,1,0)+IF(COUNTIF('Resultats Reals'!$I$2:$I$9,BF18)&gt;0,1,0)+IF(COUNTIF('Resultats Reals'!$I$2:$I$9,BG18)&gt;0,1,0)+IF(COUNTIF('Resultats Reals'!$I$2:$I$9,BH18)&gt;0,1,0)+IF(COUNTIF('Resultats Reals'!$I$2:$I$9,BI18)&gt;0,1,0)+IF(COUNTIF('Resultats Reals'!$I$2:$I$9,BJ18)&gt;0,1,0)</f>
        <v>0</v>
      </c>
      <c r="BZ18">
        <f>IF(COUNTIF('Resultats Reals'!$K$2:$K$5,BK18)&gt;0,1,0)+IF(COUNTIF('Resultats Reals'!$K$2:$K$5,BL18)&gt;0,1,0)+IF(COUNTIF('Resultats Reals'!$K$2:$K$5,BM18)&gt;0,1,0)+IF(COUNTIF('Resultats Reals'!$K$2:$K$5,BN18)&gt;0,1,0)</f>
        <v>0</v>
      </c>
      <c r="CA18">
        <f>IF(COUNTIF('Resultats Reals'!$M$2:$M$3,BO18)&gt;0,3,0)+IF(COUNTIF('Resultats Reals'!$M$2:$M$3,BP18)&gt;0,3,0)</f>
        <v>0</v>
      </c>
      <c r="CB18">
        <f>IF(BQ18='Resultats Reals'!$N$2,5,0)</f>
        <v>0</v>
      </c>
      <c r="CC18">
        <f>IF(BS18='Resultats Reals'!$O$2,5,0)</f>
        <v>0</v>
      </c>
      <c r="CD18">
        <f>IFERROR(VLOOKUP(BT18,'Resultats Reals'!$R$2:$S$100,2,FALSE),0)</f>
        <v>2</v>
      </c>
      <c r="CE18">
        <f>IF(BR18='Resultats Reals'!$P$2,5,0)</f>
        <v>0</v>
      </c>
      <c r="CF18" s="7">
        <f t="shared" si="0"/>
        <v>42.5</v>
      </c>
    </row>
    <row r="19" spans="1:84" x14ac:dyDescent="0.25">
      <c r="A19" t="s">
        <v>166</v>
      </c>
      <c r="B19" t="s">
        <v>136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108</v>
      </c>
      <c r="N19" t="s">
        <v>97</v>
      </c>
      <c r="O19" t="s">
        <v>110</v>
      </c>
      <c r="P19" t="s">
        <v>99</v>
      </c>
      <c r="Q19" t="s">
        <v>100</v>
      </c>
      <c r="R19" t="s">
        <v>113</v>
      </c>
      <c r="S19" t="s">
        <v>114</v>
      </c>
      <c r="T19" t="s">
        <v>103</v>
      </c>
      <c r="U19" t="s">
        <v>139</v>
      </c>
      <c r="V19" t="s">
        <v>105</v>
      </c>
      <c r="W19" t="s">
        <v>106</v>
      </c>
      <c r="X19" t="s">
        <v>107</v>
      </c>
      <c r="Y19" t="s">
        <v>96</v>
      </c>
      <c r="Z19" t="s">
        <v>109</v>
      </c>
      <c r="AA19" t="s">
        <v>98</v>
      </c>
      <c r="AB19" t="s">
        <v>111</v>
      </c>
      <c r="AC19" t="s">
        <v>112</v>
      </c>
      <c r="AD19" t="s">
        <v>89</v>
      </c>
      <c r="AE19" t="s">
        <v>102</v>
      </c>
      <c r="AF19" t="s">
        <v>115</v>
      </c>
      <c r="AG19" t="s">
        <v>104</v>
      </c>
      <c r="AH19" t="s">
        <v>117</v>
      </c>
      <c r="AI19" t="s">
        <v>118</v>
      </c>
      <c r="AJ19" t="s">
        <v>119</v>
      </c>
      <c r="AK19" t="s">
        <v>128</v>
      </c>
      <c r="AL19" t="s">
        <v>121</v>
      </c>
      <c r="AM19" t="s">
        <v>86</v>
      </c>
      <c r="AN19" t="s">
        <v>100</v>
      </c>
      <c r="AO19" t="s">
        <v>90</v>
      </c>
      <c r="AP19" t="s">
        <v>96</v>
      </c>
      <c r="AQ19" t="s">
        <v>94</v>
      </c>
      <c r="AR19" t="s">
        <v>105</v>
      </c>
      <c r="AS19" t="s">
        <v>92</v>
      </c>
      <c r="AT19" t="s">
        <v>87</v>
      </c>
      <c r="AU19" t="s">
        <v>88</v>
      </c>
      <c r="AV19" t="s">
        <v>91</v>
      </c>
      <c r="AW19" t="s">
        <v>93</v>
      </c>
      <c r="AX19" t="s">
        <v>95</v>
      </c>
      <c r="AY19" t="s">
        <v>103</v>
      </c>
      <c r="AZ19" t="s">
        <v>97</v>
      </c>
      <c r="BA19" t="s">
        <v>99</v>
      </c>
      <c r="BB19" t="s">
        <v>108</v>
      </c>
      <c r="BC19" t="s">
        <v>86</v>
      </c>
      <c r="BD19" t="s">
        <v>90</v>
      </c>
      <c r="BE19" t="s">
        <v>94</v>
      </c>
      <c r="BF19" t="s">
        <v>92</v>
      </c>
      <c r="BG19" t="s">
        <v>88</v>
      </c>
      <c r="BH19" t="s">
        <v>91</v>
      </c>
      <c r="BI19" t="s">
        <v>95</v>
      </c>
      <c r="BJ19" t="s">
        <v>97</v>
      </c>
      <c r="BK19" t="s">
        <v>90</v>
      </c>
      <c r="BL19" t="s">
        <v>94</v>
      </c>
      <c r="BM19" t="s">
        <v>88</v>
      </c>
      <c r="BN19" t="s">
        <v>95</v>
      </c>
      <c r="BO19" t="s">
        <v>90</v>
      </c>
      <c r="BP19" t="s">
        <v>88</v>
      </c>
      <c r="BQ19" t="s">
        <v>88</v>
      </c>
      <c r="BS19" t="s">
        <v>167</v>
      </c>
      <c r="BT19" t="s">
        <v>167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19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10.5</v>
      </c>
      <c r="BX19">
        <f>IF(COUNTIF('Resultats Reals'!$G$2:$G$17,AM19)&gt;0,1,0)+IF(COUNTIF('Resultats Reals'!$G$2:$G$17,AN19)&gt;0,1,0)+IF(COUNTIF('Resultats Reals'!$G$2:$G$17,AO19)&gt;0,1,0)+IF(COUNTIF('Resultats Reals'!$G$2:$G$17,AP19)&gt;0,1,0)+IF(COUNTIF('Resultats Reals'!$G$2:$G$17,AQ19)&gt;0,1,0)+IF(COUNTIF('Resultats Reals'!$G$2:$G$17,AR19)&gt;0,1,0)+IF(COUNTIF('Resultats Reals'!$G$2:$G$17,AS19)&gt;0,1,0)+IF(COUNTIF('Resultats Reals'!$G$2:$G$17,AT19)&gt;0,1,0)+IF(COUNTIF('Resultats Reals'!$G$2:$G$17,AU19)&gt;0,1,0)+IF(COUNTIF('Resultats Reals'!$G$2:$G$17,AV19)&gt;0,1,0)+IF(COUNTIF('Resultats Reals'!$G$2:$G$17,AW19)&gt;0,1,0)+IF(COUNTIF('Resultats Reals'!$G$2:$G$17,AX19)&gt;0,1,0)+IF(COUNTIF('Resultats Reals'!$G$2:$G$17,AY19)&gt;0,1,0)+IF(COUNTIF('Resultats Reals'!$G$2:$G$17,AZ19)&gt;0,1,0)+IF(COUNTIF('Resultats Reals'!$G$2:$G$17,BA19)&gt;0,1,0)+IF(COUNTIF('Resultats Reals'!$G$2:$G$17,BB19)&gt;0,1,0)</f>
        <v>0</v>
      </c>
      <c r="BY19">
        <f>IF(COUNTIF('Resultats Reals'!$I$2:$I$9,BC19)&gt;0,1,0)+IF(COUNTIF('Resultats Reals'!$I$2:$I$9,BD19)&gt;0,1,0)+IF(COUNTIF('Resultats Reals'!$I$2:$I$9,BE19)&gt;0,1,0)+IF(COUNTIF('Resultats Reals'!$I$2:$I$9,BF19)&gt;0,1,0)+IF(COUNTIF('Resultats Reals'!$I$2:$I$9,BG19)&gt;0,1,0)+IF(COUNTIF('Resultats Reals'!$I$2:$I$9,BH19)&gt;0,1,0)+IF(COUNTIF('Resultats Reals'!$I$2:$I$9,BI19)&gt;0,1,0)+IF(COUNTIF('Resultats Reals'!$I$2:$I$9,BJ19)&gt;0,1,0)</f>
        <v>0</v>
      </c>
      <c r="BZ19">
        <f>IF(COUNTIF('Resultats Reals'!$K$2:$K$5,BK19)&gt;0,1,0)+IF(COUNTIF('Resultats Reals'!$K$2:$K$5,BL19)&gt;0,1,0)+IF(COUNTIF('Resultats Reals'!$K$2:$K$5,BM19)&gt;0,1,0)+IF(COUNTIF('Resultats Reals'!$K$2:$K$5,BN19)&gt;0,1,0)</f>
        <v>0</v>
      </c>
      <c r="CA19">
        <f>IF(COUNTIF('Resultats Reals'!$M$2:$M$3,BO19)&gt;0,3,0)+IF(COUNTIF('Resultats Reals'!$M$2:$M$3,BP19)&gt;0,3,0)</f>
        <v>0</v>
      </c>
      <c r="CB19">
        <f>IF(BQ19='Resultats Reals'!$N$2,5,0)</f>
        <v>0</v>
      </c>
      <c r="CC19">
        <f>IF(BS19='Resultats Reals'!$O$2,5,0)</f>
        <v>0</v>
      </c>
      <c r="CD19">
        <f>IFERROR(VLOOKUP(BT19,'Resultats Reals'!$R$2:$S$100,2,FALSE),0)</f>
        <v>2</v>
      </c>
      <c r="CE19">
        <f>IF(BR19='Resultats Reals'!$P$2,5,0)</f>
        <v>0</v>
      </c>
      <c r="CF19" s="7">
        <f t="shared" si="0"/>
        <v>46.5</v>
      </c>
    </row>
    <row r="20" spans="1:84" x14ac:dyDescent="0.25">
      <c r="A20" t="s">
        <v>168</v>
      </c>
      <c r="B20" t="s">
        <v>85</v>
      </c>
      <c r="C20" t="s">
        <v>86</v>
      </c>
      <c r="D20" t="s">
        <v>87</v>
      </c>
      <c r="E20" t="s">
        <v>88</v>
      </c>
      <c r="F20" t="s">
        <v>101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110</v>
      </c>
      <c r="P20" t="s">
        <v>99</v>
      </c>
      <c r="Q20" t="s">
        <v>100</v>
      </c>
      <c r="R20" t="s">
        <v>89</v>
      </c>
      <c r="S20" t="s">
        <v>102</v>
      </c>
      <c r="T20" t="s">
        <v>115</v>
      </c>
      <c r="U20" t="s">
        <v>104</v>
      </c>
      <c r="V20" t="s">
        <v>105</v>
      </c>
      <c r="W20" t="s">
        <v>106</v>
      </c>
      <c r="X20" t="s">
        <v>119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127</v>
      </c>
      <c r="AE20" t="s">
        <v>114</v>
      </c>
      <c r="AF20" t="s">
        <v>103</v>
      </c>
      <c r="AG20" t="s">
        <v>116</v>
      </c>
      <c r="AH20" t="s">
        <v>117</v>
      </c>
      <c r="AI20" t="s">
        <v>118</v>
      </c>
      <c r="AJ20" t="s">
        <v>107</v>
      </c>
      <c r="AK20" t="s">
        <v>120</v>
      </c>
      <c r="AL20" t="s">
        <v>121</v>
      </c>
      <c r="AM20" t="s">
        <v>93</v>
      </c>
      <c r="AN20" t="s">
        <v>88</v>
      </c>
      <c r="AO20" t="s">
        <v>100</v>
      </c>
      <c r="AP20" t="s">
        <v>90</v>
      </c>
      <c r="AQ20" t="s">
        <v>95</v>
      </c>
      <c r="AR20" t="s">
        <v>94</v>
      </c>
      <c r="AS20" t="s">
        <v>96</v>
      </c>
      <c r="AT20" t="s">
        <v>97</v>
      </c>
      <c r="AU20" t="s">
        <v>109</v>
      </c>
      <c r="AV20" t="s">
        <v>108</v>
      </c>
      <c r="AW20" t="s">
        <v>102</v>
      </c>
      <c r="AX20" t="s">
        <v>86</v>
      </c>
      <c r="AY20" t="s">
        <v>101</v>
      </c>
      <c r="AZ20" t="s">
        <v>91</v>
      </c>
      <c r="BA20" t="s">
        <v>92</v>
      </c>
      <c r="BB20" t="s">
        <v>106</v>
      </c>
      <c r="BC20" t="s">
        <v>93</v>
      </c>
      <c r="BD20" t="s">
        <v>88</v>
      </c>
      <c r="BE20" t="s">
        <v>100</v>
      </c>
      <c r="BF20" t="s">
        <v>90</v>
      </c>
      <c r="BG20" t="s">
        <v>95</v>
      </c>
      <c r="BH20" t="s">
        <v>94</v>
      </c>
      <c r="BI20" t="s">
        <v>96</v>
      </c>
      <c r="BJ20" t="s">
        <v>97</v>
      </c>
      <c r="BK20" t="s">
        <v>93</v>
      </c>
      <c r="BL20" t="s">
        <v>88</v>
      </c>
      <c r="BM20" t="s">
        <v>94</v>
      </c>
      <c r="BN20" t="s">
        <v>97</v>
      </c>
      <c r="BO20" t="s">
        <v>93</v>
      </c>
      <c r="BP20" t="s">
        <v>88</v>
      </c>
      <c r="BQ20" t="s">
        <v>93</v>
      </c>
      <c r="BS20" t="s">
        <v>122</v>
      </c>
      <c r="BT20" t="s">
        <v>129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18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13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12</v>
      </c>
      <c r="BX20">
        <f>IF(COUNTIF('Resultats Reals'!$G$2:$G$17,AM20)&gt;0,1,0)+IF(COUNTIF('Resultats Reals'!$G$2:$G$17,AN20)&gt;0,1,0)+IF(COUNTIF('Resultats Reals'!$G$2:$G$17,AO20)&gt;0,1,0)+IF(COUNTIF('Resultats Reals'!$G$2:$G$17,AP20)&gt;0,1,0)+IF(COUNTIF('Resultats Reals'!$G$2:$G$17,AQ20)&gt;0,1,0)+IF(COUNTIF('Resultats Reals'!$G$2:$G$17,AR20)&gt;0,1,0)+IF(COUNTIF('Resultats Reals'!$G$2:$G$17,AS20)&gt;0,1,0)+IF(COUNTIF('Resultats Reals'!$G$2:$G$17,AT20)&gt;0,1,0)+IF(COUNTIF('Resultats Reals'!$G$2:$G$17,AU20)&gt;0,1,0)+IF(COUNTIF('Resultats Reals'!$G$2:$G$17,AV20)&gt;0,1,0)+IF(COUNTIF('Resultats Reals'!$G$2:$G$17,AW20)&gt;0,1,0)+IF(COUNTIF('Resultats Reals'!$G$2:$G$17,AX20)&gt;0,1,0)+IF(COUNTIF('Resultats Reals'!$G$2:$G$17,AY20)&gt;0,1,0)+IF(COUNTIF('Resultats Reals'!$G$2:$G$17,AZ20)&gt;0,1,0)+IF(COUNTIF('Resultats Reals'!$G$2:$G$17,BA20)&gt;0,1,0)+IF(COUNTIF('Resultats Reals'!$G$2:$G$17,BB20)&gt;0,1,0)</f>
        <v>0</v>
      </c>
      <c r="BY20">
        <f>IF(COUNTIF('Resultats Reals'!$I$2:$I$9,BC20)&gt;0,1,0)+IF(COUNTIF('Resultats Reals'!$I$2:$I$9,BD20)&gt;0,1,0)+IF(COUNTIF('Resultats Reals'!$I$2:$I$9,BE20)&gt;0,1,0)+IF(COUNTIF('Resultats Reals'!$I$2:$I$9,BF20)&gt;0,1,0)+IF(COUNTIF('Resultats Reals'!$I$2:$I$9,BG20)&gt;0,1,0)+IF(COUNTIF('Resultats Reals'!$I$2:$I$9,BH20)&gt;0,1,0)+IF(COUNTIF('Resultats Reals'!$I$2:$I$9,BI20)&gt;0,1,0)+IF(COUNTIF('Resultats Reals'!$I$2:$I$9,BJ20)&gt;0,1,0)</f>
        <v>0</v>
      </c>
      <c r="BZ20">
        <f>IF(COUNTIF('Resultats Reals'!$K$2:$K$5,BK20)&gt;0,1,0)+IF(COUNTIF('Resultats Reals'!$K$2:$K$5,BL20)&gt;0,1,0)+IF(COUNTIF('Resultats Reals'!$K$2:$K$5,BM20)&gt;0,1,0)+IF(COUNTIF('Resultats Reals'!$K$2:$K$5,BN20)&gt;0,1,0)</f>
        <v>0</v>
      </c>
      <c r="CA20">
        <f>IF(COUNTIF('Resultats Reals'!$M$2:$M$3,BO20)&gt;0,3,0)+IF(COUNTIF('Resultats Reals'!$M$2:$M$3,BP20)&gt;0,3,0)</f>
        <v>0</v>
      </c>
      <c r="CB20">
        <f>IF(BQ20='Resultats Reals'!$N$2,5,0)</f>
        <v>0</v>
      </c>
      <c r="CC20">
        <f>IF(BS20='Resultats Reals'!$O$2,5,0)</f>
        <v>0</v>
      </c>
      <c r="CD20">
        <f>IFERROR(VLOOKUP(BT20,'Resultats Reals'!$R$2:$S$100,2,FALSE),0)</f>
        <v>2</v>
      </c>
      <c r="CE20">
        <f>IF(BR20='Resultats Reals'!$P$2,5,0)</f>
        <v>0</v>
      </c>
      <c r="CF20" s="7">
        <f t="shared" si="0"/>
        <v>45</v>
      </c>
    </row>
    <row r="21" spans="1:84" x14ac:dyDescent="0.25">
      <c r="A21" t="s">
        <v>169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110</v>
      </c>
      <c r="P21" t="s">
        <v>111</v>
      </c>
      <c r="Q21" t="s">
        <v>100</v>
      </c>
      <c r="R21" t="s">
        <v>113</v>
      </c>
      <c r="S21" t="s">
        <v>102</v>
      </c>
      <c r="T21" t="s">
        <v>115</v>
      </c>
      <c r="U21" t="s">
        <v>104</v>
      </c>
      <c r="V21" t="s">
        <v>105</v>
      </c>
      <c r="W21" t="s">
        <v>118</v>
      </c>
      <c r="X21" t="s">
        <v>107</v>
      </c>
      <c r="Y21" t="s">
        <v>108</v>
      </c>
      <c r="Z21" t="s">
        <v>109</v>
      </c>
      <c r="AA21" t="s">
        <v>98</v>
      </c>
      <c r="AB21" t="s">
        <v>99</v>
      </c>
      <c r="AC21" t="s">
        <v>112</v>
      </c>
      <c r="AD21" t="s">
        <v>89</v>
      </c>
      <c r="AE21" t="s">
        <v>114</v>
      </c>
      <c r="AF21" t="s">
        <v>103</v>
      </c>
      <c r="AG21" t="s">
        <v>116</v>
      </c>
      <c r="AH21" t="s">
        <v>117</v>
      </c>
      <c r="AI21" t="s">
        <v>106</v>
      </c>
      <c r="AJ21" t="s">
        <v>119</v>
      </c>
      <c r="AK21" t="s">
        <v>128</v>
      </c>
      <c r="AL21" t="s">
        <v>121</v>
      </c>
      <c r="AM21" t="s">
        <v>102</v>
      </c>
      <c r="AN21" t="s">
        <v>94</v>
      </c>
      <c r="AO21" t="s">
        <v>110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90</v>
      </c>
      <c r="AW21" t="s">
        <v>86</v>
      </c>
      <c r="AX21" t="s">
        <v>97</v>
      </c>
      <c r="AY21" t="s">
        <v>95</v>
      </c>
      <c r="AZ21" t="s">
        <v>113</v>
      </c>
      <c r="BA21" t="s">
        <v>87</v>
      </c>
      <c r="BB21" t="s">
        <v>96</v>
      </c>
      <c r="BC21" t="s">
        <v>94</v>
      </c>
      <c r="BD21" t="s">
        <v>91</v>
      </c>
      <c r="BE21" t="s">
        <v>93</v>
      </c>
      <c r="BF21" t="s">
        <v>92</v>
      </c>
      <c r="BG21" t="s">
        <v>90</v>
      </c>
      <c r="BH21" t="s">
        <v>97</v>
      </c>
      <c r="BI21" t="s">
        <v>95</v>
      </c>
      <c r="BJ21" t="s">
        <v>96</v>
      </c>
      <c r="BK21" t="s">
        <v>94</v>
      </c>
      <c r="BL21" t="s">
        <v>93</v>
      </c>
      <c r="BM21" t="s">
        <v>90</v>
      </c>
      <c r="BN21" t="s">
        <v>95</v>
      </c>
      <c r="BO21" t="s">
        <v>93</v>
      </c>
      <c r="BP21" t="s">
        <v>90</v>
      </c>
      <c r="BQ21" t="s">
        <v>93</v>
      </c>
      <c r="BS21" t="s">
        <v>122</v>
      </c>
      <c r="BT21" t="s">
        <v>129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18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15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12.5</v>
      </c>
      <c r="BX21">
        <f>IF(COUNTIF('Resultats Reals'!$G$2:$G$17,AM21)&gt;0,1,0)+IF(COUNTIF('Resultats Reals'!$G$2:$G$17,AN21)&gt;0,1,0)+IF(COUNTIF('Resultats Reals'!$G$2:$G$17,AO21)&gt;0,1,0)+IF(COUNTIF('Resultats Reals'!$G$2:$G$17,AP21)&gt;0,1,0)+IF(COUNTIF('Resultats Reals'!$G$2:$G$17,AQ21)&gt;0,1,0)+IF(COUNTIF('Resultats Reals'!$G$2:$G$17,AR21)&gt;0,1,0)+IF(COUNTIF('Resultats Reals'!$G$2:$G$17,AS21)&gt;0,1,0)+IF(COUNTIF('Resultats Reals'!$G$2:$G$17,AT21)&gt;0,1,0)+IF(COUNTIF('Resultats Reals'!$G$2:$G$17,AU21)&gt;0,1,0)+IF(COUNTIF('Resultats Reals'!$G$2:$G$17,AV21)&gt;0,1,0)+IF(COUNTIF('Resultats Reals'!$G$2:$G$17,AW21)&gt;0,1,0)+IF(COUNTIF('Resultats Reals'!$G$2:$G$17,AX21)&gt;0,1,0)+IF(COUNTIF('Resultats Reals'!$G$2:$G$17,AY21)&gt;0,1,0)+IF(COUNTIF('Resultats Reals'!$G$2:$G$17,AZ21)&gt;0,1,0)+IF(COUNTIF('Resultats Reals'!$G$2:$G$17,BA21)&gt;0,1,0)+IF(COUNTIF('Resultats Reals'!$G$2:$G$17,BB21)&gt;0,1,0)</f>
        <v>0</v>
      </c>
      <c r="BY21">
        <f>IF(COUNTIF('Resultats Reals'!$I$2:$I$9,BC21)&gt;0,1,0)+IF(COUNTIF('Resultats Reals'!$I$2:$I$9,BD21)&gt;0,1,0)+IF(COUNTIF('Resultats Reals'!$I$2:$I$9,BE21)&gt;0,1,0)+IF(COUNTIF('Resultats Reals'!$I$2:$I$9,BF21)&gt;0,1,0)+IF(COUNTIF('Resultats Reals'!$I$2:$I$9,BG21)&gt;0,1,0)+IF(COUNTIF('Resultats Reals'!$I$2:$I$9,BH21)&gt;0,1,0)+IF(COUNTIF('Resultats Reals'!$I$2:$I$9,BI21)&gt;0,1,0)+IF(COUNTIF('Resultats Reals'!$I$2:$I$9,BJ21)&gt;0,1,0)</f>
        <v>0</v>
      </c>
      <c r="BZ21">
        <f>IF(COUNTIF('Resultats Reals'!$K$2:$K$5,BK21)&gt;0,1,0)+IF(COUNTIF('Resultats Reals'!$K$2:$K$5,BL21)&gt;0,1,0)+IF(COUNTIF('Resultats Reals'!$K$2:$K$5,BM21)&gt;0,1,0)+IF(COUNTIF('Resultats Reals'!$K$2:$K$5,BN21)&gt;0,1,0)</f>
        <v>0</v>
      </c>
      <c r="CA21">
        <f>IF(COUNTIF('Resultats Reals'!$M$2:$M$3,BO21)&gt;0,3,0)+IF(COUNTIF('Resultats Reals'!$M$2:$M$3,BP21)&gt;0,3,0)</f>
        <v>0</v>
      </c>
      <c r="CB21">
        <f>IF(BQ21='Resultats Reals'!$N$2,5,0)</f>
        <v>0</v>
      </c>
      <c r="CC21">
        <f>IF(BS21='Resultats Reals'!$O$2,5,0)</f>
        <v>0</v>
      </c>
      <c r="CD21">
        <f>IFERROR(VLOOKUP(BT21,'Resultats Reals'!$R$2:$S$100,2,FALSE),0)</f>
        <v>2</v>
      </c>
      <c r="CE21">
        <f>IF(BR21='Resultats Reals'!$P$2,5,0)</f>
        <v>0</v>
      </c>
      <c r="CF21" s="7">
        <f t="shared" si="0"/>
        <v>47.5</v>
      </c>
    </row>
    <row r="22" spans="1:84" x14ac:dyDescent="0.25">
      <c r="A22" t="s">
        <v>170</v>
      </c>
      <c r="B22" t="s">
        <v>136</v>
      </c>
      <c r="C22" t="s">
        <v>98</v>
      </c>
      <c r="D22" t="s">
        <v>87</v>
      </c>
      <c r="E22" t="s">
        <v>88</v>
      </c>
      <c r="F22" t="s">
        <v>113</v>
      </c>
      <c r="G22" t="s">
        <v>90</v>
      </c>
      <c r="H22" t="s">
        <v>91</v>
      </c>
      <c r="I22" t="s">
        <v>104</v>
      </c>
      <c r="J22" t="s">
        <v>93</v>
      </c>
      <c r="K22" t="s">
        <v>94</v>
      </c>
      <c r="L22" t="s">
        <v>95</v>
      </c>
      <c r="M22" t="s">
        <v>108</v>
      </c>
      <c r="N22" t="s">
        <v>109</v>
      </c>
      <c r="O22" t="s">
        <v>110</v>
      </c>
      <c r="P22" t="s">
        <v>111</v>
      </c>
      <c r="Q22" t="s">
        <v>100</v>
      </c>
      <c r="R22" t="s">
        <v>101</v>
      </c>
      <c r="S22" t="s">
        <v>102</v>
      </c>
      <c r="T22" t="s">
        <v>115</v>
      </c>
      <c r="U22" t="s">
        <v>92</v>
      </c>
      <c r="V22" t="s">
        <v>105</v>
      </c>
      <c r="W22" t="s">
        <v>118</v>
      </c>
      <c r="X22" t="s">
        <v>119</v>
      </c>
      <c r="Y22" t="s">
        <v>96</v>
      </c>
      <c r="Z22" t="s">
        <v>97</v>
      </c>
      <c r="AA22" t="s">
        <v>131</v>
      </c>
      <c r="AB22" t="s">
        <v>99</v>
      </c>
      <c r="AC22" t="s">
        <v>171</v>
      </c>
      <c r="AD22" t="s">
        <v>89</v>
      </c>
      <c r="AE22" t="s">
        <v>114</v>
      </c>
      <c r="AF22" t="s">
        <v>103</v>
      </c>
      <c r="AG22" t="s">
        <v>139</v>
      </c>
      <c r="AH22" t="s">
        <v>143</v>
      </c>
      <c r="AI22" t="s">
        <v>106</v>
      </c>
      <c r="AJ22" t="s">
        <v>107</v>
      </c>
      <c r="AK22" t="s">
        <v>128</v>
      </c>
      <c r="AL22" t="s">
        <v>121</v>
      </c>
      <c r="AM22" t="s">
        <v>98</v>
      </c>
      <c r="AN22" t="s">
        <v>105</v>
      </c>
      <c r="AO22" t="s">
        <v>88</v>
      </c>
      <c r="AP22" t="s">
        <v>113</v>
      </c>
      <c r="AQ22" t="s">
        <v>90</v>
      </c>
      <c r="AR22" t="s">
        <v>91</v>
      </c>
      <c r="AS22" t="s">
        <v>104</v>
      </c>
      <c r="AT22" t="s">
        <v>93</v>
      </c>
      <c r="AU22" t="s">
        <v>94</v>
      </c>
      <c r="AV22" t="s">
        <v>95</v>
      </c>
      <c r="AW22" t="s">
        <v>108</v>
      </c>
      <c r="AX22" t="s">
        <v>109</v>
      </c>
      <c r="AY22" t="s">
        <v>96</v>
      </c>
      <c r="AZ22" t="s">
        <v>97</v>
      </c>
      <c r="BA22" t="s">
        <v>118</v>
      </c>
      <c r="BB22" t="s">
        <v>100</v>
      </c>
      <c r="BC22" t="s">
        <v>93</v>
      </c>
      <c r="BD22" t="s">
        <v>94</v>
      </c>
      <c r="BE22" t="s">
        <v>88</v>
      </c>
      <c r="BF22" t="s">
        <v>90</v>
      </c>
      <c r="BG22" t="s">
        <v>95</v>
      </c>
      <c r="BH22" t="s">
        <v>118</v>
      </c>
      <c r="BI22" t="s">
        <v>109</v>
      </c>
      <c r="BJ22" t="s">
        <v>91</v>
      </c>
      <c r="BK22" t="s">
        <v>93</v>
      </c>
      <c r="BL22" t="s">
        <v>94</v>
      </c>
      <c r="BM22" t="s">
        <v>95</v>
      </c>
      <c r="BN22" t="s">
        <v>88</v>
      </c>
      <c r="BO22" t="s">
        <v>93</v>
      </c>
      <c r="BP22" t="s">
        <v>95</v>
      </c>
      <c r="BQ22" t="s">
        <v>93</v>
      </c>
      <c r="BS22" t="s">
        <v>122</v>
      </c>
      <c r="BT22" t="s">
        <v>129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19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11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11.5</v>
      </c>
      <c r="BX22">
        <f>IF(COUNTIF('Resultats Reals'!$G$2:$G$17,AM22)&gt;0,1,0)+IF(COUNTIF('Resultats Reals'!$G$2:$G$17,AN22)&gt;0,1,0)+IF(COUNTIF('Resultats Reals'!$G$2:$G$17,AO22)&gt;0,1,0)+IF(COUNTIF('Resultats Reals'!$G$2:$G$17,AP22)&gt;0,1,0)+IF(COUNTIF('Resultats Reals'!$G$2:$G$17,AQ22)&gt;0,1,0)+IF(COUNTIF('Resultats Reals'!$G$2:$G$17,AR22)&gt;0,1,0)+IF(COUNTIF('Resultats Reals'!$G$2:$G$17,AS22)&gt;0,1,0)+IF(COUNTIF('Resultats Reals'!$G$2:$G$17,AT22)&gt;0,1,0)+IF(COUNTIF('Resultats Reals'!$G$2:$G$17,AU22)&gt;0,1,0)+IF(COUNTIF('Resultats Reals'!$G$2:$G$17,AV22)&gt;0,1,0)+IF(COUNTIF('Resultats Reals'!$G$2:$G$17,AW22)&gt;0,1,0)+IF(COUNTIF('Resultats Reals'!$G$2:$G$17,AX22)&gt;0,1,0)+IF(COUNTIF('Resultats Reals'!$G$2:$G$17,AY22)&gt;0,1,0)+IF(COUNTIF('Resultats Reals'!$G$2:$G$17,AZ22)&gt;0,1,0)+IF(COUNTIF('Resultats Reals'!$G$2:$G$17,BA22)&gt;0,1,0)+IF(COUNTIF('Resultats Reals'!$G$2:$G$17,BB22)&gt;0,1,0)</f>
        <v>0</v>
      </c>
      <c r="BY22">
        <f>IF(COUNTIF('Resultats Reals'!$I$2:$I$9,BC22)&gt;0,1,0)+IF(COUNTIF('Resultats Reals'!$I$2:$I$9,BD22)&gt;0,1,0)+IF(COUNTIF('Resultats Reals'!$I$2:$I$9,BE22)&gt;0,1,0)+IF(COUNTIF('Resultats Reals'!$I$2:$I$9,BF22)&gt;0,1,0)+IF(COUNTIF('Resultats Reals'!$I$2:$I$9,BG22)&gt;0,1,0)+IF(COUNTIF('Resultats Reals'!$I$2:$I$9,BH22)&gt;0,1,0)+IF(COUNTIF('Resultats Reals'!$I$2:$I$9,BI22)&gt;0,1,0)+IF(COUNTIF('Resultats Reals'!$I$2:$I$9,BJ22)&gt;0,1,0)</f>
        <v>0</v>
      </c>
      <c r="BZ22">
        <f>IF(COUNTIF('Resultats Reals'!$K$2:$K$5,BK22)&gt;0,1,0)+IF(COUNTIF('Resultats Reals'!$K$2:$K$5,BL22)&gt;0,1,0)+IF(COUNTIF('Resultats Reals'!$K$2:$K$5,BM22)&gt;0,1,0)+IF(COUNTIF('Resultats Reals'!$K$2:$K$5,BN22)&gt;0,1,0)</f>
        <v>0</v>
      </c>
      <c r="CA22">
        <f>IF(COUNTIF('Resultats Reals'!$M$2:$M$3,BO22)&gt;0,3,0)+IF(COUNTIF('Resultats Reals'!$M$2:$M$3,BP22)&gt;0,3,0)</f>
        <v>0</v>
      </c>
      <c r="CB22">
        <f>IF(BQ22='Resultats Reals'!$N$2,5,0)</f>
        <v>0</v>
      </c>
      <c r="CC22">
        <f>IF(BS22='Resultats Reals'!$O$2,5,0)</f>
        <v>0</v>
      </c>
      <c r="CD22">
        <f>IFERROR(VLOOKUP(BT22,'Resultats Reals'!$R$2:$S$100,2,FALSE),0)</f>
        <v>2</v>
      </c>
      <c r="CE22">
        <f>IF(BR22='Resultats Reals'!$P$2,5,0)</f>
        <v>0</v>
      </c>
      <c r="CF22" s="7">
        <f t="shared" si="0"/>
        <v>43.5</v>
      </c>
    </row>
    <row r="23" spans="1:84" x14ac:dyDescent="0.25">
      <c r="A23" t="s">
        <v>172</v>
      </c>
      <c r="B23" t="s">
        <v>173</v>
      </c>
      <c r="C23" t="s">
        <v>98</v>
      </c>
      <c r="D23" t="s">
        <v>87</v>
      </c>
      <c r="E23" t="s">
        <v>88</v>
      </c>
      <c r="F23" t="s">
        <v>113</v>
      </c>
      <c r="G23" t="s">
        <v>90</v>
      </c>
      <c r="H23" t="s">
        <v>91</v>
      </c>
      <c r="I23" t="s">
        <v>104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110</v>
      </c>
      <c r="P23" t="s">
        <v>111</v>
      </c>
      <c r="Q23" t="s">
        <v>100</v>
      </c>
      <c r="R23" t="s">
        <v>101</v>
      </c>
      <c r="S23" t="s">
        <v>102</v>
      </c>
      <c r="T23" t="s">
        <v>115</v>
      </c>
      <c r="U23" t="s">
        <v>92</v>
      </c>
      <c r="V23" t="s">
        <v>105</v>
      </c>
      <c r="W23" t="s">
        <v>118</v>
      </c>
      <c r="X23" t="s">
        <v>119</v>
      </c>
      <c r="Y23" t="s">
        <v>96</v>
      </c>
      <c r="Z23" t="s">
        <v>97</v>
      </c>
      <c r="AA23" t="s">
        <v>131</v>
      </c>
      <c r="AB23" t="s">
        <v>99</v>
      </c>
      <c r="AC23" t="s">
        <v>171</v>
      </c>
      <c r="AD23" t="s">
        <v>89</v>
      </c>
      <c r="AE23" t="s">
        <v>114</v>
      </c>
      <c r="AF23" t="s">
        <v>103</v>
      </c>
      <c r="AG23" t="s">
        <v>139</v>
      </c>
      <c r="AH23" t="s">
        <v>143</v>
      </c>
      <c r="AI23" t="s">
        <v>106</v>
      </c>
      <c r="AJ23" t="s">
        <v>107</v>
      </c>
      <c r="AK23" t="s">
        <v>128</v>
      </c>
      <c r="AL23" t="s">
        <v>121</v>
      </c>
      <c r="AM23" t="s">
        <v>98</v>
      </c>
      <c r="AN23" t="s">
        <v>105</v>
      </c>
      <c r="AO23" t="s">
        <v>88</v>
      </c>
      <c r="AP23" t="s">
        <v>113</v>
      </c>
      <c r="AQ23" t="s">
        <v>102</v>
      </c>
      <c r="AR23" t="s">
        <v>91</v>
      </c>
      <c r="AS23" t="s">
        <v>104</v>
      </c>
      <c r="AT23" t="s">
        <v>93</v>
      </c>
      <c r="AU23" t="s">
        <v>94</v>
      </c>
      <c r="AV23" t="s">
        <v>95</v>
      </c>
      <c r="AW23" t="s">
        <v>108</v>
      </c>
      <c r="AX23" t="s">
        <v>109</v>
      </c>
      <c r="AY23" t="s">
        <v>96</v>
      </c>
      <c r="AZ23" t="s">
        <v>97</v>
      </c>
      <c r="BA23" t="s">
        <v>118</v>
      </c>
      <c r="BB23" t="s">
        <v>100</v>
      </c>
      <c r="BC23" t="s">
        <v>93</v>
      </c>
      <c r="BD23" t="s">
        <v>94</v>
      </c>
      <c r="BE23" t="s">
        <v>88</v>
      </c>
      <c r="BF23" t="s">
        <v>102</v>
      </c>
      <c r="BG23" t="s">
        <v>95</v>
      </c>
      <c r="BH23" t="s">
        <v>118</v>
      </c>
      <c r="BI23" t="s">
        <v>109</v>
      </c>
      <c r="BJ23" t="s">
        <v>91</v>
      </c>
      <c r="BK23" t="s">
        <v>93</v>
      </c>
      <c r="BL23" t="s">
        <v>94</v>
      </c>
      <c r="BM23" t="s">
        <v>95</v>
      </c>
      <c r="BN23" t="s">
        <v>102</v>
      </c>
      <c r="BO23" t="s">
        <v>93</v>
      </c>
      <c r="BP23" t="s">
        <v>102</v>
      </c>
      <c r="BQ23" t="s">
        <v>102</v>
      </c>
      <c r="BS23" t="s">
        <v>162</v>
      </c>
      <c r="BT23" t="s">
        <v>155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19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11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11.5</v>
      </c>
      <c r="BX23">
        <f>IF(COUNTIF('Resultats Reals'!$G$2:$G$17,AM23)&gt;0,1,0)+IF(COUNTIF('Resultats Reals'!$G$2:$G$17,AN23)&gt;0,1,0)+IF(COUNTIF('Resultats Reals'!$G$2:$G$17,AO23)&gt;0,1,0)+IF(COUNTIF('Resultats Reals'!$G$2:$G$17,AP23)&gt;0,1,0)+IF(COUNTIF('Resultats Reals'!$G$2:$G$17,AQ23)&gt;0,1,0)+IF(COUNTIF('Resultats Reals'!$G$2:$G$17,AR23)&gt;0,1,0)+IF(COUNTIF('Resultats Reals'!$G$2:$G$17,AS23)&gt;0,1,0)+IF(COUNTIF('Resultats Reals'!$G$2:$G$17,AT23)&gt;0,1,0)+IF(COUNTIF('Resultats Reals'!$G$2:$G$17,AU23)&gt;0,1,0)+IF(COUNTIF('Resultats Reals'!$G$2:$G$17,AV23)&gt;0,1,0)+IF(COUNTIF('Resultats Reals'!$G$2:$G$17,AW23)&gt;0,1,0)+IF(COUNTIF('Resultats Reals'!$G$2:$G$17,AX23)&gt;0,1,0)+IF(COUNTIF('Resultats Reals'!$G$2:$G$17,AY23)&gt;0,1,0)+IF(COUNTIF('Resultats Reals'!$G$2:$G$17,AZ23)&gt;0,1,0)+IF(COUNTIF('Resultats Reals'!$G$2:$G$17,BA23)&gt;0,1,0)+IF(COUNTIF('Resultats Reals'!$G$2:$G$17,BB23)&gt;0,1,0)</f>
        <v>0</v>
      </c>
      <c r="BY23">
        <f>IF(COUNTIF('Resultats Reals'!$I$2:$I$9,BC23)&gt;0,1,0)+IF(COUNTIF('Resultats Reals'!$I$2:$I$9,BD23)&gt;0,1,0)+IF(COUNTIF('Resultats Reals'!$I$2:$I$9,BE23)&gt;0,1,0)+IF(COUNTIF('Resultats Reals'!$I$2:$I$9,BF23)&gt;0,1,0)+IF(COUNTIF('Resultats Reals'!$I$2:$I$9,BG23)&gt;0,1,0)+IF(COUNTIF('Resultats Reals'!$I$2:$I$9,BH23)&gt;0,1,0)+IF(COUNTIF('Resultats Reals'!$I$2:$I$9,BI23)&gt;0,1,0)+IF(COUNTIF('Resultats Reals'!$I$2:$I$9,BJ23)&gt;0,1,0)</f>
        <v>0</v>
      </c>
      <c r="BZ23">
        <f>IF(COUNTIF('Resultats Reals'!$K$2:$K$5,BK23)&gt;0,1,0)+IF(COUNTIF('Resultats Reals'!$K$2:$K$5,BL23)&gt;0,1,0)+IF(COUNTIF('Resultats Reals'!$K$2:$K$5,BM23)&gt;0,1,0)+IF(COUNTIF('Resultats Reals'!$K$2:$K$5,BN23)&gt;0,1,0)</f>
        <v>0</v>
      </c>
      <c r="CA23">
        <f>IF(COUNTIF('Resultats Reals'!$M$2:$M$3,BO23)&gt;0,3,0)+IF(COUNTIF('Resultats Reals'!$M$2:$M$3,BP23)&gt;0,3,0)</f>
        <v>0</v>
      </c>
      <c r="CB23">
        <f>IF(BQ23='Resultats Reals'!$N$2,5,0)</f>
        <v>0</v>
      </c>
      <c r="CC23">
        <f>IF(BS23='Resultats Reals'!$O$2,5,0)</f>
        <v>0</v>
      </c>
      <c r="CD23">
        <f>IFERROR(VLOOKUP(BT23,'Resultats Reals'!$R$2:$S$100,2,FALSE),0)</f>
        <v>2</v>
      </c>
      <c r="CE23">
        <f>IF(BR23='Resultats Reals'!$P$2,5,0)</f>
        <v>0</v>
      </c>
      <c r="CF23" s="7">
        <f t="shared" si="0"/>
        <v>43.5</v>
      </c>
    </row>
    <row r="24" spans="1:84" x14ac:dyDescent="0.25">
      <c r="A24" t="s">
        <v>174</v>
      </c>
      <c r="B24" t="s">
        <v>85</v>
      </c>
      <c r="C24" t="s">
        <v>86</v>
      </c>
      <c r="D24" t="s">
        <v>87</v>
      </c>
      <c r="E24" t="s">
        <v>88</v>
      </c>
      <c r="F24" t="s">
        <v>89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101</v>
      </c>
      <c r="S24" t="s">
        <v>102</v>
      </c>
      <c r="T24" t="s">
        <v>115</v>
      </c>
      <c r="U24" t="s">
        <v>116</v>
      </c>
      <c r="V24" t="s">
        <v>105</v>
      </c>
      <c r="W24" t="s">
        <v>118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113</v>
      </c>
      <c r="AE24" t="s">
        <v>114</v>
      </c>
      <c r="AF24" t="s">
        <v>103</v>
      </c>
      <c r="AG24" t="s">
        <v>104</v>
      </c>
      <c r="AH24" t="s">
        <v>143</v>
      </c>
      <c r="AI24" t="s">
        <v>106</v>
      </c>
      <c r="AJ24" t="s">
        <v>119</v>
      </c>
      <c r="AK24" t="s">
        <v>120</v>
      </c>
      <c r="AL24" t="s">
        <v>121</v>
      </c>
      <c r="AM24" t="s">
        <v>90</v>
      </c>
      <c r="AN24" t="s">
        <v>94</v>
      </c>
      <c r="AO24" t="s">
        <v>98</v>
      </c>
      <c r="AP24" t="s">
        <v>91</v>
      </c>
      <c r="AQ24" t="s">
        <v>108</v>
      </c>
      <c r="AR24" t="s">
        <v>93</v>
      </c>
      <c r="AS24" t="s">
        <v>89</v>
      </c>
      <c r="AT24" t="s">
        <v>92</v>
      </c>
      <c r="AU24" t="s">
        <v>88</v>
      </c>
      <c r="AV24" t="s">
        <v>102</v>
      </c>
      <c r="AW24" t="s">
        <v>86</v>
      </c>
      <c r="AX24" t="s">
        <v>97</v>
      </c>
      <c r="AY24" t="s">
        <v>95</v>
      </c>
      <c r="AZ24" t="s">
        <v>101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88</v>
      </c>
      <c r="BN24" t="s">
        <v>95</v>
      </c>
      <c r="BO24" t="s">
        <v>94</v>
      </c>
      <c r="BP24" t="s">
        <v>95</v>
      </c>
      <c r="BQ24" t="s">
        <v>95</v>
      </c>
      <c r="BS24" t="s">
        <v>158</v>
      </c>
      <c r="BT24" t="s">
        <v>129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20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17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14.5</v>
      </c>
      <c r="BX24">
        <f>IF(COUNTIF('Resultats Reals'!$G$2:$G$17,AM24)&gt;0,1,0)+IF(COUNTIF('Resultats Reals'!$G$2:$G$17,AN24)&gt;0,1,0)+IF(COUNTIF('Resultats Reals'!$G$2:$G$17,AO24)&gt;0,1,0)+IF(COUNTIF('Resultats Reals'!$G$2:$G$17,AP24)&gt;0,1,0)+IF(COUNTIF('Resultats Reals'!$G$2:$G$17,AQ24)&gt;0,1,0)+IF(COUNTIF('Resultats Reals'!$G$2:$G$17,AR24)&gt;0,1,0)+IF(COUNTIF('Resultats Reals'!$G$2:$G$17,AS24)&gt;0,1,0)+IF(COUNTIF('Resultats Reals'!$G$2:$G$17,AT24)&gt;0,1,0)+IF(COUNTIF('Resultats Reals'!$G$2:$G$17,AU24)&gt;0,1,0)+IF(COUNTIF('Resultats Reals'!$G$2:$G$17,AV24)&gt;0,1,0)+IF(COUNTIF('Resultats Reals'!$G$2:$G$17,AW24)&gt;0,1,0)+IF(COUNTIF('Resultats Reals'!$G$2:$G$17,AX24)&gt;0,1,0)+IF(COUNTIF('Resultats Reals'!$G$2:$G$17,AY24)&gt;0,1,0)+IF(COUNTIF('Resultats Reals'!$G$2:$G$17,AZ24)&gt;0,1,0)+IF(COUNTIF('Resultats Reals'!$G$2:$G$17,BA24)&gt;0,1,0)+IF(COUNTIF('Resultats Reals'!$G$2:$G$17,BB24)&gt;0,1,0)</f>
        <v>0</v>
      </c>
      <c r="BY24">
        <f>IF(COUNTIF('Resultats Reals'!$I$2:$I$9,BC24)&gt;0,1,0)+IF(COUNTIF('Resultats Reals'!$I$2:$I$9,BD24)&gt;0,1,0)+IF(COUNTIF('Resultats Reals'!$I$2:$I$9,BE24)&gt;0,1,0)+IF(COUNTIF('Resultats Reals'!$I$2:$I$9,BF24)&gt;0,1,0)+IF(COUNTIF('Resultats Reals'!$I$2:$I$9,BG24)&gt;0,1,0)+IF(COUNTIF('Resultats Reals'!$I$2:$I$9,BH24)&gt;0,1,0)+IF(COUNTIF('Resultats Reals'!$I$2:$I$9,BI24)&gt;0,1,0)+IF(COUNTIF('Resultats Reals'!$I$2:$I$9,BJ24)&gt;0,1,0)</f>
        <v>0</v>
      </c>
      <c r="BZ24">
        <f>IF(COUNTIF('Resultats Reals'!$K$2:$K$5,BK24)&gt;0,1,0)+IF(COUNTIF('Resultats Reals'!$K$2:$K$5,BL24)&gt;0,1,0)+IF(COUNTIF('Resultats Reals'!$K$2:$K$5,BM24)&gt;0,1,0)+IF(COUNTIF('Resultats Reals'!$K$2:$K$5,BN24)&gt;0,1,0)</f>
        <v>0</v>
      </c>
      <c r="CA24">
        <f>IF(COUNTIF('Resultats Reals'!$M$2:$M$3,BO24)&gt;0,3,0)+IF(COUNTIF('Resultats Reals'!$M$2:$M$3,BP24)&gt;0,3,0)</f>
        <v>0</v>
      </c>
      <c r="CB24">
        <f>IF(BQ24='Resultats Reals'!$N$2,5,0)</f>
        <v>0</v>
      </c>
      <c r="CC24">
        <f>IF(BS24='Resultats Reals'!$O$2,5,0)</f>
        <v>0</v>
      </c>
      <c r="CD24">
        <f>IFERROR(VLOOKUP(BT24,'Resultats Reals'!$R$2:$S$100,2,FALSE),0)</f>
        <v>2</v>
      </c>
      <c r="CE24">
        <f>IF(BR24='Resultats Reals'!$P$2,5,0)</f>
        <v>0</v>
      </c>
      <c r="CF24" s="7">
        <f t="shared" si="0"/>
        <v>53.5</v>
      </c>
    </row>
    <row r="25" spans="1:84" x14ac:dyDescent="0.25">
      <c r="A25" t="s">
        <v>175</v>
      </c>
      <c r="B25" t="s">
        <v>173</v>
      </c>
      <c r="C25" t="s">
        <v>98</v>
      </c>
      <c r="D25" t="s">
        <v>87</v>
      </c>
      <c r="E25" t="s">
        <v>88</v>
      </c>
      <c r="F25" t="s">
        <v>113</v>
      </c>
      <c r="G25" t="s">
        <v>90</v>
      </c>
      <c r="H25" t="s">
        <v>91</v>
      </c>
      <c r="I25" t="s">
        <v>104</v>
      </c>
      <c r="J25" t="s">
        <v>93</v>
      </c>
      <c r="K25" t="s">
        <v>94</v>
      </c>
      <c r="L25" t="s">
        <v>95</v>
      </c>
      <c r="M25" t="s">
        <v>108</v>
      </c>
      <c r="N25" t="s">
        <v>109</v>
      </c>
      <c r="O25" t="s">
        <v>110</v>
      </c>
      <c r="P25" t="s">
        <v>111</v>
      </c>
      <c r="Q25" t="s">
        <v>100</v>
      </c>
      <c r="R25" t="s">
        <v>101</v>
      </c>
      <c r="S25" t="s">
        <v>102</v>
      </c>
      <c r="T25" t="s">
        <v>115</v>
      </c>
      <c r="U25" t="s">
        <v>92</v>
      </c>
      <c r="V25" t="s">
        <v>105</v>
      </c>
      <c r="W25" t="s">
        <v>118</v>
      </c>
      <c r="X25" t="s">
        <v>119</v>
      </c>
      <c r="Y25" t="s">
        <v>96</v>
      </c>
      <c r="Z25" t="s">
        <v>97</v>
      </c>
      <c r="AA25" t="s">
        <v>131</v>
      </c>
      <c r="AB25" t="s">
        <v>99</v>
      </c>
      <c r="AC25" t="s">
        <v>171</v>
      </c>
      <c r="AD25" t="s">
        <v>89</v>
      </c>
      <c r="AE25" t="s">
        <v>114</v>
      </c>
      <c r="AF25" t="s">
        <v>103</v>
      </c>
      <c r="AG25" t="s">
        <v>139</v>
      </c>
      <c r="AH25" t="s">
        <v>143</v>
      </c>
      <c r="AI25" t="s">
        <v>106</v>
      </c>
      <c r="AJ25" t="s">
        <v>107</v>
      </c>
      <c r="AK25" t="s">
        <v>128</v>
      </c>
      <c r="AL25" t="s">
        <v>121</v>
      </c>
      <c r="AM25" t="s">
        <v>98</v>
      </c>
      <c r="AN25" t="s">
        <v>105</v>
      </c>
      <c r="AO25" t="s">
        <v>88</v>
      </c>
      <c r="AP25" t="s">
        <v>113</v>
      </c>
      <c r="AQ25" t="s">
        <v>90</v>
      </c>
      <c r="AR25" t="s">
        <v>91</v>
      </c>
      <c r="AS25" t="s">
        <v>104</v>
      </c>
      <c r="AT25" t="s">
        <v>93</v>
      </c>
      <c r="AU25" t="s">
        <v>94</v>
      </c>
      <c r="AV25" t="s">
        <v>95</v>
      </c>
      <c r="AW25" t="s">
        <v>108</v>
      </c>
      <c r="AX25" t="s">
        <v>109</v>
      </c>
      <c r="AY25" t="s">
        <v>96</v>
      </c>
      <c r="AZ25" t="s">
        <v>97</v>
      </c>
      <c r="BA25" t="s">
        <v>118</v>
      </c>
      <c r="BB25" t="s">
        <v>100</v>
      </c>
      <c r="BC25" t="s">
        <v>93</v>
      </c>
      <c r="BD25" t="s">
        <v>94</v>
      </c>
      <c r="BE25" t="s">
        <v>88</v>
      </c>
      <c r="BF25" t="s">
        <v>90</v>
      </c>
      <c r="BG25" t="s">
        <v>95</v>
      </c>
      <c r="BH25" t="s">
        <v>118</v>
      </c>
      <c r="BI25" t="s">
        <v>109</v>
      </c>
      <c r="BJ25" t="s">
        <v>91</v>
      </c>
      <c r="BK25" t="s">
        <v>93</v>
      </c>
      <c r="BL25" t="s">
        <v>94</v>
      </c>
      <c r="BM25" t="s">
        <v>95</v>
      </c>
      <c r="BN25" t="s">
        <v>88</v>
      </c>
      <c r="BO25" t="s">
        <v>93</v>
      </c>
      <c r="BP25" t="s">
        <v>95</v>
      </c>
      <c r="BQ25" t="s">
        <v>93</v>
      </c>
      <c r="BS25" t="s">
        <v>129</v>
      </c>
      <c r="BT25" t="s">
        <v>133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11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11.5</v>
      </c>
      <c r="BX25">
        <f>IF(COUNTIF('Resultats Reals'!$G$2:$G$17,AM25)&gt;0,1,0)+IF(COUNTIF('Resultats Reals'!$G$2:$G$17,AN25)&gt;0,1,0)+IF(COUNTIF('Resultats Reals'!$G$2:$G$17,AO25)&gt;0,1,0)+IF(COUNTIF('Resultats Reals'!$G$2:$G$17,AP25)&gt;0,1,0)+IF(COUNTIF('Resultats Reals'!$G$2:$G$17,AQ25)&gt;0,1,0)+IF(COUNTIF('Resultats Reals'!$G$2:$G$17,AR25)&gt;0,1,0)+IF(COUNTIF('Resultats Reals'!$G$2:$G$17,AS25)&gt;0,1,0)+IF(COUNTIF('Resultats Reals'!$G$2:$G$17,AT25)&gt;0,1,0)+IF(COUNTIF('Resultats Reals'!$G$2:$G$17,AU25)&gt;0,1,0)+IF(COUNTIF('Resultats Reals'!$G$2:$G$17,AV25)&gt;0,1,0)+IF(COUNTIF('Resultats Reals'!$G$2:$G$17,AW25)&gt;0,1,0)+IF(COUNTIF('Resultats Reals'!$G$2:$G$17,AX25)&gt;0,1,0)+IF(COUNTIF('Resultats Reals'!$G$2:$G$17,AY25)&gt;0,1,0)+IF(COUNTIF('Resultats Reals'!$G$2:$G$17,AZ25)&gt;0,1,0)+IF(COUNTIF('Resultats Reals'!$G$2:$G$17,BA25)&gt;0,1,0)+IF(COUNTIF('Resultats Reals'!$G$2:$G$17,BB25)&gt;0,1,0)</f>
        <v>0</v>
      </c>
      <c r="BY25">
        <f>IF(COUNTIF('Resultats Reals'!$I$2:$I$9,BC25)&gt;0,1,0)+IF(COUNTIF('Resultats Reals'!$I$2:$I$9,BD25)&gt;0,1,0)+IF(COUNTIF('Resultats Reals'!$I$2:$I$9,BE25)&gt;0,1,0)+IF(COUNTIF('Resultats Reals'!$I$2:$I$9,BF25)&gt;0,1,0)+IF(COUNTIF('Resultats Reals'!$I$2:$I$9,BG25)&gt;0,1,0)+IF(COUNTIF('Resultats Reals'!$I$2:$I$9,BH25)&gt;0,1,0)+IF(COUNTIF('Resultats Reals'!$I$2:$I$9,BI25)&gt;0,1,0)+IF(COUNTIF('Resultats Reals'!$I$2:$I$9,BJ25)&gt;0,1,0)</f>
        <v>0</v>
      </c>
      <c r="BZ25">
        <f>IF(COUNTIF('Resultats Reals'!$K$2:$K$5,BK25)&gt;0,1,0)+IF(COUNTIF('Resultats Reals'!$K$2:$K$5,BL25)&gt;0,1,0)+IF(COUNTIF('Resultats Reals'!$K$2:$K$5,BM25)&gt;0,1,0)+IF(COUNTIF('Resultats Reals'!$K$2:$K$5,BN25)&gt;0,1,0)</f>
        <v>0</v>
      </c>
      <c r="CA25">
        <f>IF(COUNTIF('Resultats Reals'!$M$2:$M$3,BO25)&gt;0,3,0)+IF(COUNTIF('Resultats Reals'!$M$2:$M$3,BP25)&gt;0,3,0)</f>
        <v>0</v>
      </c>
      <c r="CB25">
        <f>IF(BQ25='Resultats Reals'!$N$2,5,0)</f>
        <v>0</v>
      </c>
      <c r="CC25">
        <f>IF(BS25='Resultats Reals'!$O$2,5,0)</f>
        <v>0</v>
      </c>
      <c r="CD25">
        <f>IFERROR(VLOOKUP(BT25,'Resultats Reals'!$R$2:$S$100,2,FALSE),0)</f>
        <v>0</v>
      </c>
      <c r="CE25">
        <f>IF(BR25='Resultats Reals'!$P$2,5,0)</f>
        <v>0</v>
      </c>
      <c r="CF25" s="7">
        <f t="shared" si="0"/>
        <v>41.5</v>
      </c>
    </row>
    <row r="26" spans="1:84" x14ac:dyDescent="0.25">
      <c r="A26" t="s">
        <v>176</v>
      </c>
      <c r="B26" t="s">
        <v>164</v>
      </c>
      <c r="C26" t="s">
        <v>86</v>
      </c>
      <c r="D26" t="s">
        <v>87</v>
      </c>
      <c r="E26" t="s">
        <v>88</v>
      </c>
      <c r="F26" t="s">
        <v>113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102</v>
      </c>
      <c r="T26" t="s">
        <v>115</v>
      </c>
      <c r="U26" t="s">
        <v>104</v>
      </c>
      <c r="V26" t="s">
        <v>105</v>
      </c>
      <c r="W26" t="s">
        <v>118</v>
      </c>
      <c r="X26" t="s">
        <v>119</v>
      </c>
      <c r="Y26" t="s">
        <v>108</v>
      </c>
      <c r="Z26" t="s">
        <v>109</v>
      </c>
      <c r="AA26" t="s">
        <v>131</v>
      </c>
      <c r="AB26" t="s">
        <v>126</v>
      </c>
      <c r="AC26" t="s">
        <v>112</v>
      </c>
      <c r="AD26" t="s">
        <v>101</v>
      </c>
      <c r="AE26" t="s">
        <v>114</v>
      </c>
      <c r="AF26" t="s">
        <v>103</v>
      </c>
      <c r="AG26" t="s">
        <v>116</v>
      </c>
      <c r="AH26" t="s">
        <v>117</v>
      </c>
      <c r="AI26" t="s">
        <v>106</v>
      </c>
      <c r="AJ26" t="s">
        <v>107</v>
      </c>
      <c r="AK26" t="s">
        <v>128</v>
      </c>
      <c r="AL26" t="s">
        <v>145</v>
      </c>
      <c r="AM26" t="s">
        <v>90</v>
      </c>
      <c r="AN26" t="s">
        <v>94</v>
      </c>
      <c r="AO26" t="s">
        <v>98</v>
      </c>
      <c r="AP26" t="s">
        <v>100</v>
      </c>
      <c r="AQ26" t="s">
        <v>109</v>
      </c>
      <c r="AR26" t="s">
        <v>93</v>
      </c>
      <c r="AS26" t="s">
        <v>113</v>
      </c>
      <c r="AT26" t="s">
        <v>92</v>
      </c>
      <c r="AU26" t="s">
        <v>88</v>
      </c>
      <c r="AV26" t="s">
        <v>118</v>
      </c>
      <c r="AW26" t="s">
        <v>86</v>
      </c>
      <c r="AX26" t="s">
        <v>97</v>
      </c>
      <c r="AY26" t="s">
        <v>95</v>
      </c>
      <c r="AZ26" t="s">
        <v>104</v>
      </c>
      <c r="BA26" t="s">
        <v>87</v>
      </c>
      <c r="BB26" t="s">
        <v>96</v>
      </c>
      <c r="BC26" t="s">
        <v>94</v>
      </c>
      <c r="BD26" t="s">
        <v>100</v>
      </c>
      <c r="BE26" t="s">
        <v>93</v>
      </c>
      <c r="BF26" t="s">
        <v>92</v>
      </c>
      <c r="BG26" t="s">
        <v>88</v>
      </c>
      <c r="BH26" t="s">
        <v>97</v>
      </c>
      <c r="BI26" t="s">
        <v>95</v>
      </c>
      <c r="BJ26" t="s">
        <v>96</v>
      </c>
      <c r="BK26" t="s">
        <v>94</v>
      </c>
      <c r="BL26" t="s">
        <v>93</v>
      </c>
      <c r="BM26" t="s">
        <v>88</v>
      </c>
      <c r="BN26" t="s">
        <v>95</v>
      </c>
      <c r="BO26" t="s">
        <v>93</v>
      </c>
      <c r="BP26" t="s">
        <v>95</v>
      </c>
      <c r="BQ26" t="s">
        <v>93</v>
      </c>
      <c r="BR26" s="6" t="s">
        <v>177</v>
      </c>
      <c r="BS26" t="s">
        <v>129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19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15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8.5</v>
      </c>
      <c r="BX26">
        <f>IF(COUNTIF('Resultats Reals'!$G$2:$G$17,AM26)&gt;0,1,0)+IF(COUNTIF('Resultats Reals'!$G$2:$G$17,AN26)&gt;0,1,0)+IF(COUNTIF('Resultats Reals'!$G$2:$G$17,AO26)&gt;0,1,0)+IF(COUNTIF('Resultats Reals'!$G$2:$G$17,AP26)&gt;0,1,0)+IF(COUNTIF('Resultats Reals'!$G$2:$G$17,AQ26)&gt;0,1,0)+IF(COUNTIF('Resultats Reals'!$G$2:$G$17,AR26)&gt;0,1,0)+IF(COUNTIF('Resultats Reals'!$G$2:$G$17,AS26)&gt;0,1,0)+IF(COUNTIF('Resultats Reals'!$G$2:$G$17,AT26)&gt;0,1,0)+IF(COUNTIF('Resultats Reals'!$G$2:$G$17,AU26)&gt;0,1,0)+IF(COUNTIF('Resultats Reals'!$G$2:$G$17,AV26)&gt;0,1,0)+IF(COUNTIF('Resultats Reals'!$G$2:$G$17,AW26)&gt;0,1,0)+IF(COUNTIF('Resultats Reals'!$G$2:$G$17,AX26)&gt;0,1,0)+IF(COUNTIF('Resultats Reals'!$G$2:$G$17,AY26)&gt;0,1,0)+IF(COUNTIF('Resultats Reals'!$G$2:$G$17,AZ26)&gt;0,1,0)+IF(COUNTIF('Resultats Reals'!$G$2:$G$17,BA26)&gt;0,1,0)+IF(COUNTIF('Resultats Reals'!$G$2:$G$17,BB26)&gt;0,1,0)</f>
        <v>0</v>
      </c>
      <c r="BY26">
        <f>IF(COUNTIF('Resultats Reals'!$I$2:$I$9,BC26)&gt;0,1,0)+IF(COUNTIF('Resultats Reals'!$I$2:$I$9,BD26)&gt;0,1,0)+IF(COUNTIF('Resultats Reals'!$I$2:$I$9,BE26)&gt;0,1,0)+IF(COUNTIF('Resultats Reals'!$I$2:$I$9,BF26)&gt;0,1,0)+IF(COUNTIF('Resultats Reals'!$I$2:$I$9,BG26)&gt;0,1,0)+IF(COUNTIF('Resultats Reals'!$I$2:$I$9,BH26)&gt;0,1,0)+IF(COUNTIF('Resultats Reals'!$I$2:$I$9,BI26)&gt;0,1,0)+IF(COUNTIF('Resultats Reals'!$I$2:$I$9,BJ26)&gt;0,1,0)</f>
        <v>0</v>
      </c>
      <c r="BZ26">
        <f>IF(COUNTIF('Resultats Reals'!$K$2:$K$5,BK26)&gt;0,1,0)+IF(COUNTIF('Resultats Reals'!$K$2:$K$5,BL26)&gt;0,1,0)+IF(COUNTIF('Resultats Reals'!$K$2:$K$5,BM26)&gt;0,1,0)+IF(COUNTIF('Resultats Reals'!$K$2:$K$5,BN26)&gt;0,1,0)</f>
        <v>0</v>
      </c>
      <c r="CA26">
        <f>IF(COUNTIF('Resultats Reals'!$M$2:$M$3,BO26)&gt;0,3,0)+IF(COUNTIF('Resultats Reals'!$M$2:$M$3,BP26)&gt;0,3,0)</f>
        <v>0</v>
      </c>
      <c r="CB26">
        <f>IF(BQ26='Resultats Reals'!$N$2,5,0)</f>
        <v>0</v>
      </c>
      <c r="CC26">
        <f>IF(BS26='Resultats Reals'!$O$2,5,0)</f>
        <v>0</v>
      </c>
      <c r="CD26">
        <f>IFERROR(VLOOKUP(BT26,'Resultats Reals'!$R$2:$S$100,2,FALSE),0)</f>
        <v>2</v>
      </c>
      <c r="CE26">
        <f>IF(BR26='Resultats Reals'!$P$2,5,0)</f>
        <v>0</v>
      </c>
      <c r="CF26" s="7">
        <f t="shared" si="0"/>
        <v>44.5</v>
      </c>
    </row>
    <row r="27" spans="1:84" x14ac:dyDescent="0.25">
      <c r="A27" t="s">
        <v>178</v>
      </c>
      <c r="B27" t="s">
        <v>85</v>
      </c>
      <c r="C27" t="s">
        <v>86</v>
      </c>
      <c r="D27" t="s">
        <v>87</v>
      </c>
      <c r="E27" t="s">
        <v>88</v>
      </c>
      <c r="F27" t="s">
        <v>101</v>
      </c>
      <c r="G27" t="s">
        <v>102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110</v>
      </c>
      <c r="P27" t="s">
        <v>111</v>
      </c>
      <c r="Q27" t="s">
        <v>100</v>
      </c>
      <c r="R27" t="s">
        <v>113</v>
      </c>
      <c r="S27" t="s">
        <v>90</v>
      </c>
      <c r="T27" t="s">
        <v>115</v>
      </c>
      <c r="U27" t="s">
        <v>104</v>
      </c>
      <c r="V27" t="s">
        <v>105</v>
      </c>
      <c r="W27" t="s">
        <v>118</v>
      </c>
      <c r="X27" t="s">
        <v>107</v>
      </c>
      <c r="Y27" t="s">
        <v>108</v>
      </c>
      <c r="Z27" t="s">
        <v>109</v>
      </c>
      <c r="AA27" t="s">
        <v>98</v>
      </c>
      <c r="AB27" t="s">
        <v>99</v>
      </c>
      <c r="AC27" t="s">
        <v>112</v>
      </c>
      <c r="AD27" t="s">
        <v>89</v>
      </c>
      <c r="AE27" t="s">
        <v>114</v>
      </c>
      <c r="AF27" t="s">
        <v>103</v>
      </c>
      <c r="AG27" t="s">
        <v>116</v>
      </c>
      <c r="AH27" t="s">
        <v>117</v>
      </c>
      <c r="AI27" t="s">
        <v>106</v>
      </c>
      <c r="AJ27" t="s">
        <v>119</v>
      </c>
      <c r="AK27" t="s">
        <v>128</v>
      </c>
      <c r="AL27" t="s">
        <v>121</v>
      </c>
      <c r="AM27" t="s">
        <v>102</v>
      </c>
      <c r="AN27" t="s">
        <v>94</v>
      </c>
      <c r="AO27" t="s">
        <v>111</v>
      </c>
      <c r="AP27" t="s">
        <v>91</v>
      </c>
      <c r="AQ27" t="s">
        <v>108</v>
      </c>
      <c r="AR27" t="s">
        <v>93</v>
      </c>
      <c r="AS27" t="s">
        <v>101</v>
      </c>
      <c r="AT27" t="s">
        <v>106</v>
      </c>
      <c r="AU27" t="s">
        <v>88</v>
      </c>
      <c r="AV27" t="s">
        <v>118</v>
      </c>
      <c r="AW27" t="s">
        <v>86</v>
      </c>
      <c r="AX27" t="s">
        <v>97</v>
      </c>
      <c r="AY27" t="s">
        <v>95</v>
      </c>
      <c r="AZ27" t="s">
        <v>113</v>
      </c>
      <c r="BA27" t="s">
        <v>87</v>
      </c>
      <c r="BB27" t="s">
        <v>96</v>
      </c>
      <c r="BC27" t="s">
        <v>94</v>
      </c>
      <c r="BD27" t="s">
        <v>91</v>
      </c>
      <c r="BE27" t="s">
        <v>93</v>
      </c>
      <c r="BF27" t="s">
        <v>106</v>
      </c>
      <c r="BG27" t="s">
        <v>118</v>
      </c>
      <c r="BH27" t="s">
        <v>97</v>
      </c>
      <c r="BI27" t="s">
        <v>95</v>
      </c>
      <c r="BJ27" t="s">
        <v>96</v>
      </c>
      <c r="BK27" t="s">
        <v>94</v>
      </c>
      <c r="BL27" t="s">
        <v>93</v>
      </c>
      <c r="BM27" t="s">
        <v>97</v>
      </c>
      <c r="BN27" t="s">
        <v>96</v>
      </c>
      <c r="BO27" t="s">
        <v>93</v>
      </c>
      <c r="BP27" t="s">
        <v>96</v>
      </c>
      <c r="BQ27" t="s">
        <v>93</v>
      </c>
      <c r="BS27" t="s">
        <v>122</v>
      </c>
      <c r="BT27" t="s">
        <v>123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16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16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12.5</v>
      </c>
      <c r="BX27">
        <f>IF(COUNTIF('Resultats Reals'!$G$2:$G$17,AM27)&gt;0,1,0)+IF(COUNTIF('Resultats Reals'!$G$2:$G$17,AN27)&gt;0,1,0)+IF(COUNTIF('Resultats Reals'!$G$2:$G$17,AO27)&gt;0,1,0)+IF(COUNTIF('Resultats Reals'!$G$2:$G$17,AP27)&gt;0,1,0)+IF(COUNTIF('Resultats Reals'!$G$2:$G$17,AQ27)&gt;0,1,0)+IF(COUNTIF('Resultats Reals'!$G$2:$G$17,AR27)&gt;0,1,0)+IF(COUNTIF('Resultats Reals'!$G$2:$G$17,AS27)&gt;0,1,0)+IF(COUNTIF('Resultats Reals'!$G$2:$G$17,AT27)&gt;0,1,0)+IF(COUNTIF('Resultats Reals'!$G$2:$G$17,AU27)&gt;0,1,0)+IF(COUNTIF('Resultats Reals'!$G$2:$G$17,AV27)&gt;0,1,0)+IF(COUNTIF('Resultats Reals'!$G$2:$G$17,AW27)&gt;0,1,0)+IF(COUNTIF('Resultats Reals'!$G$2:$G$17,AX27)&gt;0,1,0)+IF(COUNTIF('Resultats Reals'!$G$2:$G$17,AY27)&gt;0,1,0)+IF(COUNTIF('Resultats Reals'!$G$2:$G$17,AZ27)&gt;0,1,0)+IF(COUNTIF('Resultats Reals'!$G$2:$G$17,BA27)&gt;0,1,0)+IF(COUNTIF('Resultats Reals'!$G$2:$G$17,BB27)&gt;0,1,0)</f>
        <v>0</v>
      </c>
      <c r="BY27">
        <f>IF(COUNTIF('Resultats Reals'!$I$2:$I$9,BC27)&gt;0,1,0)+IF(COUNTIF('Resultats Reals'!$I$2:$I$9,BD27)&gt;0,1,0)+IF(COUNTIF('Resultats Reals'!$I$2:$I$9,BE27)&gt;0,1,0)+IF(COUNTIF('Resultats Reals'!$I$2:$I$9,BF27)&gt;0,1,0)+IF(COUNTIF('Resultats Reals'!$I$2:$I$9,BG27)&gt;0,1,0)+IF(COUNTIF('Resultats Reals'!$I$2:$I$9,BH27)&gt;0,1,0)+IF(COUNTIF('Resultats Reals'!$I$2:$I$9,BI27)&gt;0,1,0)+IF(COUNTIF('Resultats Reals'!$I$2:$I$9,BJ27)&gt;0,1,0)</f>
        <v>0</v>
      </c>
      <c r="BZ27">
        <f>IF(COUNTIF('Resultats Reals'!$K$2:$K$5,BK27)&gt;0,1,0)+IF(COUNTIF('Resultats Reals'!$K$2:$K$5,BL27)&gt;0,1,0)+IF(COUNTIF('Resultats Reals'!$K$2:$K$5,BM27)&gt;0,1,0)+IF(COUNTIF('Resultats Reals'!$K$2:$K$5,BN27)&gt;0,1,0)</f>
        <v>0</v>
      </c>
      <c r="CA27">
        <f>IF(COUNTIF('Resultats Reals'!$M$2:$M$3,BO27)&gt;0,3,0)+IF(COUNTIF('Resultats Reals'!$M$2:$M$3,BP27)&gt;0,3,0)</f>
        <v>0</v>
      </c>
      <c r="CB27">
        <f>IF(BQ27='Resultats Reals'!$N$2,5,0)</f>
        <v>0</v>
      </c>
      <c r="CC27">
        <f>IF(BS27='Resultats Reals'!$O$2,5,0)</f>
        <v>0</v>
      </c>
      <c r="CD27">
        <f>IFERROR(VLOOKUP(BT27,'Resultats Reals'!$R$2:$S$100,2,FALSE),0)</f>
        <v>2</v>
      </c>
      <c r="CE27">
        <f>IF(BR27='Resultats Reals'!$P$2,5,0)</f>
        <v>0</v>
      </c>
      <c r="CF27" s="7">
        <f t="shared" si="0"/>
        <v>46.5</v>
      </c>
    </row>
    <row r="28" spans="1:84" x14ac:dyDescent="0.25">
      <c r="A28" t="s">
        <v>179</v>
      </c>
      <c r="B28" t="s">
        <v>125</v>
      </c>
      <c r="C28" t="s">
        <v>86</v>
      </c>
      <c r="D28" t="s">
        <v>87</v>
      </c>
      <c r="E28" t="s">
        <v>100</v>
      </c>
      <c r="F28" t="s">
        <v>101</v>
      </c>
      <c r="G28" t="s">
        <v>90</v>
      </c>
      <c r="H28" t="s">
        <v>103</v>
      </c>
      <c r="I28" t="s">
        <v>104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110</v>
      </c>
      <c r="P28" t="s">
        <v>99</v>
      </c>
      <c r="Q28" t="s">
        <v>88</v>
      </c>
      <c r="R28" t="s">
        <v>89</v>
      </c>
      <c r="S28" t="s">
        <v>102</v>
      </c>
      <c r="T28" t="s">
        <v>91</v>
      </c>
      <c r="U28" t="s">
        <v>92</v>
      </c>
      <c r="V28" t="s">
        <v>105</v>
      </c>
      <c r="W28" t="s">
        <v>118</v>
      </c>
      <c r="X28" t="s">
        <v>107</v>
      </c>
      <c r="Y28" t="s">
        <v>108</v>
      </c>
      <c r="Z28" t="s">
        <v>109</v>
      </c>
      <c r="AA28" t="s">
        <v>98</v>
      </c>
      <c r="AB28" t="s">
        <v>126</v>
      </c>
      <c r="AC28" t="s">
        <v>112</v>
      </c>
      <c r="AD28" t="s">
        <v>113</v>
      </c>
      <c r="AE28" t="s">
        <v>114</v>
      </c>
      <c r="AF28" t="s">
        <v>115</v>
      </c>
      <c r="AG28" t="s">
        <v>116</v>
      </c>
      <c r="AH28" t="s">
        <v>117</v>
      </c>
      <c r="AI28" t="s">
        <v>106</v>
      </c>
      <c r="AJ28" t="s">
        <v>119</v>
      </c>
      <c r="AK28" t="s">
        <v>128</v>
      </c>
      <c r="AL28" t="s">
        <v>121</v>
      </c>
      <c r="AM28" t="s">
        <v>93</v>
      </c>
      <c r="AN28" t="s">
        <v>94</v>
      </c>
      <c r="AO28" t="s">
        <v>97</v>
      </c>
      <c r="AP28" t="s">
        <v>88</v>
      </c>
      <c r="AQ28" t="s">
        <v>96</v>
      </c>
      <c r="AR28" t="s">
        <v>95</v>
      </c>
      <c r="AS28" t="s">
        <v>90</v>
      </c>
      <c r="AT28" t="s">
        <v>91</v>
      </c>
      <c r="AU28" t="s">
        <v>101</v>
      </c>
      <c r="AV28" t="s">
        <v>108</v>
      </c>
      <c r="AW28" t="s">
        <v>105</v>
      </c>
      <c r="AX28" t="s">
        <v>100</v>
      </c>
      <c r="AY28" t="s">
        <v>89</v>
      </c>
      <c r="AZ28" t="s">
        <v>103</v>
      </c>
      <c r="BA28" t="s">
        <v>86</v>
      </c>
      <c r="BB28" t="s">
        <v>109</v>
      </c>
      <c r="BC28" t="s">
        <v>93</v>
      </c>
      <c r="BD28" t="s">
        <v>94</v>
      </c>
      <c r="BE28" t="s">
        <v>97</v>
      </c>
      <c r="BF28" t="s">
        <v>88</v>
      </c>
      <c r="BG28" t="s">
        <v>96</v>
      </c>
      <c r="BH28" t="s">
        <v>95</v>
      </c>
      <c r="BI28" t="s">
        <v>108</v>
      </c>
      <c r="BJ28" t="s">
        <v>100</v>
      </c>
      <c r="BK28" t="s">
        <v>93</v>
      </c>
      <c r="BL28" t="s">
        <v>94</v>
      </c>
      <c r="BM28" t="s">
        <v>95</v>
      </c>
      <c r="BN28" t="s">
        <v>100</v>
      </c>
      <c r="BO28" t="s">
        <v>95</v>
      </c>
      <c r="BP28" t="s">
        <v>94</v>
      </c>
      <c r="BQ28" t="s">
        <v>94</v>
      </c>
      <c r="BS28" t="s">
        <v>180</v>
      </c>
      <c r="BT28" t="s">
        <v>129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17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14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11.5</v>
      </c>
      <c r="BX28">
        <f>IF(COUNTIF('Resultats Reals'!$G$2:$G$17,AM28)&gt;0,1,0)+IF(COUNTIF('Resultats Reals'!$G$2:$G$17,AN28)&gt;0,1,0)+IF(COUNTIF('Resultats Reals'!$G$2:$G$17,AO28)&gt;0,1,0)+IF(COUNTIF('Resultats Reals'!$G$2:$G$17,AP28)&gt;0,1,0)+IF(COUNTIF('Resultats Reals'!$G$2:$G$17,AQ28)&gt;0,1,0)+IF(COUNTIF('Resultats Reals'!$G$2:$G$17,AR28)&gt;0,1,0)+IF(COUNTIF('Resultats Reals'!$G$2:$G$17,AS28)&gt;0,1,0)+IF(COUNTIF('Resultats Reals'!$G$2:$G$17,AT28)&gt;0,1,0)+IF(COUNTIF('Resultats Reals'!$G$2:$G$17,AU28)&gt;0,1,0)+IF(COUNTIF('Resultats Reals'!$G$2:$G$17,AV28)&gt;0,1,0)+IF(COUNTIF('Resultats Reals'!$G$2:$G$17,AW28)&gt;0,1,0)+IF(COUNTIF('Resultats Reals'!$G$2:$G$17,AX28)&gt;0,1,0)+IF(COUNTIF('Resultats Reals'!$G$2:$G$17,AY28)&gt;0,1,0)+IF(COUNTIF('Resultats Reals'!$G$2:$G$17,AZ28)&gt;0,1,0)+IF(COUNTIF('Resultats Reals'!$G$2:$G$17,BA28)&gt;0,1,0)+IF(COUNTIF('Resultats Reals'!$G$2:$G$17,BB28)&gt;0,1,0)</f>
        <v>0</v>
      </c>
      <c r="BY28">
        <f>IF(COUNTIF('Resultats Reals'!$I$2:$I$9,BC28)&gt;0,1,0)+IF(COUNTIF('Resultats Reals'!$I$2:$I$9,BD28)&gt;0,1,0)+IF(COUNTIF('Resultats Reals'!$I$2:$I$9,BE28)&gt;0,1,0)+IF(COUNTIF('Resultats Reals'!$I$2:$I$9,BF28)&gt;0,1,0)+IF(COUNTIF('Resultats Reals'!$I$2:$I$9,BG28)&gt;0,1,0)+IF(COUNTIF('Resultats Reals'!$I$2:$I$9,BH28)&gt;0,1,0)+IF(COUNTIF('Resultats Reals'!$I$2:$I$9,BI28)&gt;0,1,0)+IF(COUNTIF('Resultats Reals'!$I$2:$I$9,BJ28)&gt;0,1,0)</f>
        <v>0</v>
      </c>
      <c r="BZ28">
        <f>IF(COUNTIF('Resultats Reals'!$K$2:$K$5,BK28)&gt;0,1,0)+IF(COUNTIF('Resultats Reals'!$K$2:$K$5,BL28)&gt;0,1,0)+IF(COUNTIF('Resultats Reals'!$K$2:$K$5,BM28)&gt;0,1,0)+IF(COUNTIF('Resultats Reals'!$K$2:$K$5,BN28)&gt;0,1,0)</f>
        <v>0</v>
      </c>
      <c r="CA28">
        <f>IF(COUNTIF('Resultats Reals'!$M$2:$M$3,BO28)&gt;0,3,0)+IF(COUNTIF('Resultats Reals'!$M$2:$M$3,BP28)&gt;0,3,0)</f>
        <v>0</v>
      </c>
      <c r="CB28">
        <f>IF(BQ28='Resultats Reals'!$N$2,5,0)</f>
        <v>0</v>
      </c>
      <c r="CC28">
        <f>IF(BS28='Resultats Reals'!$O$2,5,0)</f>
        <v>0</v>
      </c>
      <c r="CD28">
        <f>IFERROR(VLOOKUP(BT28,'Resultats Reals'!$R$2:$S$100,2,FALSE),0)</f>
        <v>2</v>
      </c>
      <c r="CE28">
        <f>IF(BR28='Resultats Reals'!$P$2,5,0)</f>
        <v>0</v>
      </c>
      <c r="CF28" s="7">
        <f t="shared" si="0"/>
        <v>44.5</v>
      </c>
    </row>
    <row r="29" spans="1:84" x14ac:dyDescent="0.25">
      <c r="A29" t="s">
        <v>181</v>
      </c>
      <c r="B29" t="s">
        <v>125</v>
      </c>
      <c r="C29" t="s">
        <v>86</v>
      </c>
      <c r="D29" t="s">
        <v>99</v>
      </c>
      <c r="E29" t="s">
        <v>88</v>
      </c>
      <c r="F29" t="s">
        <v>89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131</v>
      </c>
      <c r="P29" t="s">
        <v>126</v>
      </c>
      <c r="Q29" t="s">
        <v>100</v>
      </c>
      <c r="R29" t="s">
        <v>113</v>
      </c>
      <c r="S29" t="s">
        <v>102</v>
      </c>
      <c r="T29" t="s">
        <v>115</v>
      </c>
      <c r="U29" t="s">
        <v>116</v>
      </c>
      <c r="V29" t="s">
        <v>105</v>
      </c>
      <c r="W29" t="s">
        <v>106</v>
      </c>
      <c r="X29" t="s">
        <v>119</v>
      </c>
      <c r="Y29" t="s">
        <v>108</v>
      </c>
      <c r="Z29" t="s">
        <v>109</v>
      </c>
      <c r="AA29" t="s">
        <v>98</v>
      </c>
      <c r="AB29" t="s">
        <v>111</v>
      </c>
      <c r="AC29" t="s">
        <v>112</v>
      </c>
      <c r="AD29" t="s">
        <v>101</v>
      </c>
      <c r="AE29" t="s">
        <v>114</v>
      </c>
      <c r="AF29" t="s">
        <v>103</v>
      </c>
      <c r="AG29" t="s">
        <v>104</v>
      </c>
      <c r="AH29" t="s">
        <v>117</v>
      </c>
      <c r="AI29" t="s">
        <v>118</v>
      </c>
      <c r="AJ29" t="s">
        <v>107</v>
      </c>
      <c r="AK29" t="s">
        <v>128</v>
      </c>
      <c r="AL29" t="s">
        <v>121</v>
      </c>
      <c r="AM29" t="s">
        <v>86</v>
      </c>
      <c r="AN29" t="s">
        <v>99</v>
      </c>
      <c r="AO29" t="s">
        <v>88</v>
      </c>
      <c r="AP29" t="s">
        <v>89</v>
      </c>
      <c r="AQ29" t="s">
        <v>90</v>
      </c>
      <c r="AR29" t="s">
        <v>91</v>
      </c>
      <c r="AS29" t="s">
        <v>92</v>
      </c>
      <c r="AT29" t="s">
        <v>93</v>
      </c>
      <c r="AU29" t="s">
        <v>94</v>
      </c>
      <c r="AV29" t="s">
        <v>95</v>
      </c>
      <c r="AW29" t="s">
        <v>96</v>
      </c>
      <c r="AX29" t="s">
        <v>97</v>
      </c>
      <c r="AY29" t="s">
        <v>108</v>
      </c>
      <c r="AZ29" t="s">
        <v>100</v>
      </c>
      <c r="BA29" t="s">
        <v>118</v>
      </c>
      <c r="BB29" t="s">
        <v>103</v>
      </c>
      <c r="BC29" t="s">
        <v>93</v>
      </c>
      <c r="BD29" t="s">
        <v>94</v>
      </c>
      <c r="BE29" t="s">
        <v>95</v>
      </c>
      <c r="BF29" t="s">
        <v>96</v>
      </c>
      <c r="BG29" t="s">
        <v>88</v>
      </c>
      <c r="BH29" t="s">
        <v>90</v>
      </c>
      <c r="BI29" t="s">
        <v>97</v>
      </c>
      <c r="BJ29" t="s">
        <v>91</v>
      </c>
      <c r="BK29" t="s">
        <v>93</v>
      </c>
      <c r="BL29" t="s">
        <v>94</v>
      </c>
      <c r="BM29" t="s">
        <v>95</v>
      </c>
      <c r="BN29" t="s">
        <v>96</v>
      </c>
      <c r="BO29" t="s">
        <v>93</v>
      </c>
      <c r="BP29" t="s">
        <v>95</v>
      </c>
      <c r="BQ29" t="s">
        <v>95</v>
      </c>
      <c r="BR29" s="6" t="s">
        <v>177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21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12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12</v>
      </c>
      <c r="BX29">
        <f>IF(COUNTIF('Resultats Reals'!$G$2:$G$17,AM29)&gt;0,1,0)+IF(COUNTIF('Resultats Reals'!$G$2:$G$17,AN29)&gt;0,1,0)+IF(COUNTIF('Resultats Reals'!$G$2:$G$17,AO29)&gt;0,1,0)+IF(COUNTIF('Resultats Reals'!$G$2:$G$17,AP29)&gt;0,1,0)+IF(COUNTIF('Resultats Reals'!$G$2:$G$17,AQ29)&gt;0,1,0)+IF(COUNTIF('Resultats Reals'!$G$2:$G$17,AR29)&gt;0,1,0)+IF(COUNTIF('Resultats Reals'!$G$2:$G$17,AS29)&gt;0,1,0)+IF(COUNTIF('Resultats Reals'!$G$2:$G$17,AT29)&gt;0,1,0)+IF(COUNTIF('Resultats Reals'!$G$2:$G$17,AU29)&gt;0,1,0)+IF(COUNTIF('Resultats Reals'!$G$2:$G$17,AV29)&gt;0,1,0)+IF(COUNTIF('Resultats Reals'!$G$2:$G$17,AW29)&gt;0,1,0)+IF(COUNTIF('Resultats Reals'!$G$2:$G$17,AX29)&gt;0,1,0)+IF(COUNTIF('Resultats Reals'!$G$2:$G$17,AY29)&gt;0,1,0)+IF(COUNTIF('Resultats Reals'!$G$2:$G$17,AZ29)&gt;0,1,0)+IF(COUNTIF('Resultats Reals'!$G$2:$G$17,BA29)&gt;0,1,0)+IF(COUNTIF('Resultats Reals'!$G$2:$G$17,BB29)&gt;0,1,0)</f>
        <v>0</v>
      </c>
      <c r="BY29">
        <f>IF(COUNTIF('Resultats Reals'!$I$2:$I$9,BC29)&gt;0,1,0)+IF(COUNTIF('Resultats Reals'!$I$2:$I$9,BD29)&gt;0,1,0)+IF(COUNTIF('Resultats Reals'!$I$2:$I$9,BE29)&gt;0,1,0)+IF(COUNTIF('Resultats Reals'!$I$2:$I$9,BF29)&gt;0,1,0)+IF(COUNTIF('Resultats Reals'!$I$2:$I$9,BG29)&gt;0,1,0)+IF(COUNTIF('Resultats Reals'!$I$2:$I$9,BH29)&gt;0,1,0)+IF(COUNTIF('Resultats Reals'!$I$2:$I$9,BI29)&gt;0,1,0)+IF(COUNTIF('Resultats Reals'!$I$2:$I$9,BJ29)&gt;0,1,0)</f>
        <v>0</v>
      </c>
      <c r="BZ29">
        <f>IF(COUNTIF('Resultats Reals'!$K$2:$K$5,BK29)&gt;0,1,0)+IF(COUNTIF('Resultats Reals'!$K$2:$K$5,BL29)&gt;0,1,0)+IF(COUNTIF('Resultats Reals'!$K$2:$K$5,BM29)&gt;0,1,0)+IF(COUNTIF('Resultats Reals'!$K$2:$K$5,BN29)&gt;0,1,0)</f>
        <v>0</v>
      </c>
      <c r="CA29">
        <f>IF(COUNTIF('Resultats Reals'!$M$2:$M$3,BO29)&gt;0,3,0)+IF(COUNTIF('Resultats Reals'!$M$2:$M$3,BP29)&gt;0,3,0)</f>
        <v>0</v>
      </c>
      <c r="CB29">
        <f>IF(BQ29='Resultats Reals'!$N$2,5,0)</f>
        <v>0</v>
      </c>
      <c r="CC29">
        <f>IF(BS29='Resultats Reals'!$O$2,5,0)</f>
        <v>0</v>
      </c>
      <c r="CD29">
        <f>IFERROR(VLOOKUP(BT29,'Resultats Reals'!$R$2:$S$100,2,FALSE),0)</f>
        <v>2</v>
      </c>
      <c r="CE29">
        <f>IF(BR29='Resultats Reals'!$P$2,5,0)</f>
        <v>0</v>
      </c>
      <c r="CF29" s="7">
        <f t="shared" si="0"/>
        <v>47</v>
      </c>
    </row>
    <row r="30" spans="1:84" x14ac:dyDescent="0.25">
      <c r="A30" t="s">
        <v>182</v>
      </c>
      <c r="B30" t="s">
        <v>85</v>
      </c>
      <c r="C30" t="s">
        <v>86</v>
      </c>
      <c r="D30" t="s">
        <v>87</v>
      </c>
      <c r="E30" t="s">
        <v>88</v>
      </c>
      <c r="F30" t="s">
        <v>101</v>
      </c>
      <c r="G30" t="s">
        <v>90</v>
      </c>
      <c r="H30" t="s">
        <v>91</v>
      </c>
      <c r="I30" t="s">
        <v>183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110</v>
      </c>
      <c r="P30" t="s">
        <v>99</v>
      </c>
      <c r="Q30" t="s">
        <v>100</v>
      </c>
      <c r="R30" t="s">
        <v>89</v>
      </c>
      <c r="S30" t="s">
        <v>102</v>
      </c>
      <c r="T30" t="s">
        <v>103</v>
      </c>
      <c r="U30" t="s">
        <v>104</v>
      </c>
      <c r="V30" t="s">
        <v>105</v>
      </c>
      <c r="W30" t="s">
        <v>106</v>
      </c>
      <c r="X30" t="s">
        <v>107</v>
      </c>
      <c r="Y30" t="s">
        <v>108</v>
      </c>
      <c r="Z30" t="s">
        <v>109</v>
      </c>
      <c r="AA30" t="s">
        <v>98</v>
      </c>
      <c r="AB30" t="s">
        <v>111</v>
      </c>
      <c r="AC30" t="s">
        <v>112</v>
      </c>
      <c r="AD30" t="s">
        <v>127</v>
      </c>
      <c r="AE30" t="s">
        <v>114</v>
      </c>
      <c r="AF30" t="s">
        <v>115</v>
      </c>
      <c r="AG30" t="s">
        <v>116</v>
      </c>
      <c r="AH30" t="s">
        <v>117</v>
      </c>
      <c r="AI30" t="s">
        <v>118</v>
      </c>
      <c r="AJ30" t="s">
        <v>119</v>
      </c>
      <c r="AK30" t="s">
        <v>120</v>
      </c>
      <c r="AL30" t="s">
        <v>121</v>
      </c>
      <c r="AM30" t="s">
        <v>90</v>
      </c>
      <c r="AN30" t="s">
        <v>94</v>
      </c>
      <c r="AO30" t="s">
        <v>99</v>
      </c>
      <c r="AP30" t="s">
        <v>91</v>
      </c>
      <c r="AQ30" t="s">
        <v>108</v>
      </c>
      <c r="AR30" t="s">
        <v>93</v>
      </c>
      <c r="AS30" t="s">
        <v>101</v>
      </c>
      <c r="AT30" t="s">
        <v>92</v>
      </c>
      <c r="AU30" t="s">
        <v>88</v>
      </c>
      <c r="AV30" t="s">
        <v>106</v>
      </c>
      <c r="AW30" t="s">
        <v>86</v>
      </c>
      <c r="AX30" t="s">
        <v>97</v>
      </c>
      <c r="AY30" t="s">
        <v>95</v>
      </c>
      <c r="AZ30" t="s">
        <v>89</v>
      </c>
      <c r="BA30" t="s">
        <v>87</v>
      </c>
      <c r="BB30" t="s">
        <v>96</v>
      </c>
      <c r="BC30" t="s">
        <v>94</v>
      </c>
      <c r="BD30" t="s">
        <v>91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96</v>
      </c>
      <c r="BO30" t="s">
        <v>93</v>
      </c>
      <c r="BP30" t="s">
        <v>96</v>
      </c>
      <c r="BQ30" t="s">
        <v>93</v>
      </c>
      <c r="BS30" t="s">
        <v>151</v>
      </c>
      <c r="BT30" t="s">
        <v>123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17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14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10</v>
      </c>
      <c r="BX30">
        <f>IF(COUNTIF('Resultats Reals'!$G$2:$G$17,AM30)&gt;0,1,0)+IF(COUNTIF('Resultats Reals'!$G$2:$G$17,AN30)&gt;0,1,0)+IF(COUNTIF('Resultats Reals'!$G$2:$G$17,AO30)&gt;0,1,0)+IF(COUNTIF('Resultats Reals'!$G$2:$G$17,AP30)&gt;0,1,0)+IF(COUNTIF('Resultats Reals'!$G$2:$G$17,AQ30)&gt;0,1,0)+IF(COUNTIF('Resultats Reals'!$G$2:$G$17,AR30)&gt;0,1,0)+IF(COUNTIF('Resultats Reals'!$G$2:$G$17,AS30)&gt;0,1,0)+IF(COUNTIF('Resultats Reals'!$G$2:$G$17,AT30)&gt;0,1,0)+IF(COUNTIF('Resultats Reals'!$G$2:$G$17,AU30)&gt;0,1,0)+IF(COUNTIF('Resultats Reals'!$G$2:$G$17,AV30)&gt;0,1,0)+IF(COUNTIF('Resultats Reals'!$G$2:$G$17,AW30)&gt;0,1,0)+IF(COUNTIF('Resultats Reals'!$G$2:$G$17,AX30)&gt;0,1,0)+IF(COUNTIF('Resultats Reals'!$G$2:$G$17,AY30)&gt;0,1,0)+IF(COUNTIF('Resultats Reals'!$G$2:$G$17,AZ30)&gt;0,1,0)+IF(COUNTIF('Resultats Reals'!$G$2:$G$17,BA30)&gt;0,1,0)+IF(COUNTIF('Resultats Reals'!$G$2:$G$17,BB30)&gt;0,1,0)</f>
        <v>0</v>
      </c>
      <c r="BY30">
        <f>IF(COUNTIF('Resultats Reals'!$I$2:$I$9,BC30)&gt;0,1,0)+IF(COUNTIF('Resultats Reals'!$I$2:$I$9,BD30)&gt;0,1,0)+IF(COUNTIF('Resultats Reals'!$I$2:$I$9,BE30)&gt;0,1,0)+IF(COUNTIF('Resultats Reals'!$I$2:$I$9,BF30)&gt;0,1,0)+IF(COUNTIF('Resultats Reals'!$I$2:$I$9,BG30)&gt;0,1,0)+IF(COUNTIF('Resultats Reals'!$I$2:$I$9,BH30)&gt;0,1,0)+IF(COUNTIF('Resultats Reals'!$I$2:$I$9,BI30)&gt;0,1,0)+IF(COUNTIF('Resultats Reals'!$I$2:$I$9,BJ30)&gt;0,1,0)</f>
        <v>0</v>
      </c>
      <c r="BZ30">
        <f>IF(COUNTIF('Resultats Reals'!$K$2:$K$5,BK30)&gt;0,1,0)+IF(COUNTIF('Resultats Reals'!$K$2:$K$5,BL30)&gt;0,1,0)+IF(COUNTIF('Resultats Reals'!$K$2:$K$5,BM30)&gt;0,1,0)+IF(COUNTIF('Resultats Reals'!$K$2:$K$5,BN30)&gt;0,1,0)</f>
        <v>0</v>
      </c>
      <c r="CA30">
        <f>IF(COUNTIF('Resultats Reals'!$M$2:$M$3,BO30)&gt;0,3,0)+IF(COUNTIF('Resultats Reals'!$M$2:$M$3,BP30)&gt;0,3,0)</f>
        <v>0</v>
      </c>
      <c r="CB30">
        <f>IF(BQ30='Resultats Reals'!$N$2,5,0)</f>
        <v>0</v>
      </c>
      <c r="CC30">
        <f>IF(BS30='Resultats Reals'!$O$2,5,0)</f>
        <v>0</v>
      </c>
      <c r="CD30">
        <f>IFERROR(VLOOKUP(BT30,'Resultats Reals'!$R$2:$S$100,2,FALSE),0)</f>
        <v>2</v>
      </c>
      <c r="CE30">
        <f>IF(BR30='Resultats Reals'!$P$2,5,0)</f>
        <v>0</v>
      </c>
      <c r="CF30" s="7">
        <f t="shared" si="0"/>
        <v>43</v>
      </c>
    </row>
    <row r="31" spans="1:84" x14ac:dyDescent="0.25">
      <c r="A31" t="s">
        <v>184</v>
      </c>
      <c r="B31" t="s">
        <v>125</v>
      </c>
      <c r="C31" t="s">
        <v>86</v>
      </c>
      <c r="D31" t="s">
        <v>99</v>
      </c>
      <c r="E31" t="s">
        <v>88</v>
      </c>
      <c r="F31" t="s">
        <v>101</v>
      </c>
      <c r="G31" t="s">
        <v>90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98</v>
      </c>
      <c r="P31" t="s">
        <v>126</v>
      </c>
      <c r="Q31" t="s">
        <v>100</v>
      </c>
      <c r="R31" t="s">
        <v>89</v>
      </c>
      <c r="S31" t="s">
        <v>102</v>
      </c>
      <c r="T31" t="s">
        <v>115</v>
      </c>
      <c r="U31" t="s">
        <v>104</v>
      </c>
      <c r="V31" t="s">
        <v>105</v>
      </c>
      <c r="W31" t="s">
        <v>118</v>
      </c>
      <c r="X31" t="s">
        <v>119</v>
      </c>
      <c r="Y31" t="s">
        <v>108</v>
      </c>
      <c r="Z31" t="s">
        <v>109</v>
      </c>
      <c r="AA31" t="s">
        <v>131</v>
      </c>
      <c r="AB31" t="s">
        <v>87</v>
      </c>
      <c r="AC31" t="s">
        <v>112</v>
      </c>
      <c r="AD31" t="s">
        <v>113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107</v>
      </c>
      <c r="AK31" t="s">
        <v>128</v>
      </c>
      <c r="AL31" t="s">
        <v>121</v>
      </c>
      <c r="AM31" t="s">
        <v>90</v>
      </c>
      <c r="AN31" t="s">
        <v>94</v>
      </c>
      <c r="AO31" t="s">
        <v>98</v>
      </c>
      <c r="AP31" t="s">
        <v>100</v>
      </c>
      <c r="AQ31" t="s">
        <v>108</v>
      </c>
      <c r="AR31" t="s">
        <v>93</v>
      </c>
      <c r="AS31" t="s">
        <v>101</v>
      </c>
      <c r="AT31" t="s">
        <v>92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104</v>
      </c>
      <c r="BA31" t="s">
        <v>99</v>
      </c>
      <c r="BB31" t="s">
        <v>96</v>
      </c>
      <c r="BC31" t="s">
        <v>94</v>
      </c>
      <c r="BD31" t="s">
        <v>100</v>
      </c>
      <c r="BE31" t="s">
        <v>93</v>
      </c>
      <c r="BF31" t="s">
        <v>92</v>
      </c>
      <c r="BG31" t="s">
        <v>88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88</v>
      </c>
      <c r="BN31" t="s">
        <v>95</v>
      </c>
      <c r="BO31" t="s">
        <v>93</v>
      </c>
      <c r="BP31" t="s">
        <v>88</v>
      </c>
      <c r="BQ31" t="s">
        <v>93</v>
      </c>
      <c r="BS31" t="s">
        <v>122</v>
      </c>
      <c r="BT31" t="s">
        <v>129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19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14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13.5</v>
      </c>
      <c r="BX31">
        <f>IF(COUNTIF('Resultats Reals'!$G$2:$G$17,AM31)&gt;0,1,0)+IF(COUNTIF('Resultats Reals'!$G$2:$G$17,AN31)&gt;0,1,0)+IF(COUNTIF('Resultats Reals'!$G$2:$G$17,AO31)&gt;0,1,0)+IF(COUNTIF('Resultats Reals'!$G$2:$G$17,AP31)&gt;0,1,0)+IF(COUNTIF('Resultats Reals'!$G$2:$G$17,AQ31)&gt;0,1,0)+IF(COUNTIF('Resultats Reals'!$G$2:$G$17,AR31)&gt;0,1,0)+IF(COUNTIF('Resultats Reals'!$G$2:$G$17,AS31)&gt;0,1,0)+IF(COUNTIF('Resultats Reals'!$G$2:$G$17,AT31)&gt;0,1,0)+IF(COUNTIF('Resultats Reals'!$G$2:$G$17,AU31)&gt;0,1,0)+IF(COUNTIF('Resultats Reals'!$G$2:$G$17,AV31)&gt;0,1,0)+IF(COUNTIF('Resultats Reals'!$G$2:$G$17,AW31)&gt;0,1,0)+IF(COUNTIF('Resultats Reals'!$G$2:$G$17,AX31)&gt;0,1,0)+IF(COUNTIF('Resultats Reals'!$G$2:$G$17,AY31)&gt;0,1,0)+IF(COUNTIF('Resultats Reals'!$G$2:$G$17,AZ31)&gt;0,1,0)+IF(COUNTIF('Resultats Reals'!$G$2:$G$17,BA31)&gt;0,1,0)+IF(COUNTIF('Resultats Reals'!$G$2:$G$17,BB31)&gt;0,1,0)</f>
        <v>0</v>
      </c>
      <c r="BY31">
        <f>IF(COUNTIF('Resultats Reals'!$I$2:$I$9,BC31)&gt;0,1,0)+IF(COUNTIF('Resultats Reals'!$I$2:$I$9,BD31)&gt;0,1,0)+IF(COUNTIF('Resultats Reals'!$I$2:$I$9,BE31)&gt;0,1,0)+IF(COUNTIF('Resultats Reals'!$I$2:$I$9,BF31)&gt;0,1,0)+IF(COUNTIF('Resultats Reals'!$I$2:$I$9,BG31)&gt;0,1,0)+IF(COUNTIF('Resultats Reals'!$I$2:$I$9,BH31)&gt;0,1,0)+IF(COUNTIF('Resultats Reals'!$I$2:$I$9,BI31)&gt;0,1,0)+IF(COUNTIF('Resultats Reals'!$I$2:$I$9,BJ31)&gt;0,1,0)</f>
        <v>0</v>
      </c>
      <c r="BZ31">
        <f>IF(COUNTIF('Resultats Reals'!$K$2:$K$5,BK31)&gt;0,1,0)+IF(COUNTIF('Resultats Reals'!$K$2:$K$5,BL31)&gt;0,1,0)+IF(COUNTIF('Resultats Reals'!$K$2:$K$5,BM31)&gt;0,1,0)+IF(COUNTIF('Resultats Reals'!$K$2:$K$5,BN31)&gt;0,1,0)</f>
        <v>0</v>
      </c>
      <c r="CA31">
        <f>IF(COUNTIF('Resultats Reals'!$M$2:$M$3,BO31)&gt;0,3,0)+IF(COUNTIF('Resultats Reals'!$M$2:$M$3,BP31)&gt;0,3,0)</f>
        <v>0</v>
      </c>
      <c r="CB31">
        <f>IF(BQ31='Resultats Reals'!$N$2,5,0)</f>
        <v>0</v>
      </c>
      <c r="CC31">
        <f>IF(BS31='Resultats Reals'!$O$2,5,0)</f>
        <v>0</v>
      </c>
      <c r="CD31">
        <f>IFERROR(VLOOKUP(BT31,'Resultats Reals'!$R$2:$S$100,2,FALSE),0)</f>
        <v>2</v>
      </c>
      <c r="CE31">
        <f>IF(BR31='Resultats Reals'!$P$2,5,0)</f>
        <v>0</v>
      </c>
      <c r="CF31" s="7">
        <f t="shared" si="0"/>
        <v>48.5</v>
      </c>
    </row>
    <row r="32" spans="1:84" x14ac:dyDescent="0.25">
      <c r="A32" t="s">
        <v>185</v>
      </c>
      <c r="B32" t="s">
        <v>85</v>
      </c>
      <c r="C32" t="s">
        <v>86</v>
      </c>
      <c r="D32" t="s">
        <v>99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87</v>
      </c>
      <c r="Q32" t="s">
        <v>100</v>
      </c>
      <c r="R32" t="s">
        <v>101</v>
      </c>
      <c r="S32" t="s">
        <v>102</v>
      </c>
      <c r="T32" t="s">
        <v>115</v>
      </c>
      <c r="U32" t="s">
        <v>116</v>
      </c>
      <c r="V32" t="s">
        <v>105</v>
      </c>
      <c r="W32" t="s">
        <v>106</v>
      </c>
      <c r="X32" t="s">
        <v>107</v>
      </c>
      <c r="Y32" t="s">
        <v>108</v>
      </c>
      <c r="Z32" t="s">
        <v>109</v>
      </c>
      <c r="AA32" t="s">
        <v>131</v>
      </c>
      <c r="AB32" t="s">
        <v>126</v>
      </c>
      <c r="AC32" t="s">
        <v>112</v>
      </c>
      <c r="AD32" t="s">
        <v>127</v>
      </c>
      <c r="AE32" t="s">
        <v>114</v>
      </c>
      <c r="AF32" t="s">
        <v>103</v>
      </c>
      <c r="AG32" t="s">
        <v>104</v>
      </c>
      <c r="AH32" t="s">
        <v>117</v>
      </c>
      <c r="AI32" t="s">
        <v>118</v>
      </c>
      <c r="AJ32" t="s">
        <v>119</v>
      </c>
      <c r="AK32" t="s">
        <v>120</v>
      </c>
      <c r="AL32" t="s">
        <v>121</v>
      </c>
      <c r="AM32" t="s">
        <v>86</v>
      </c>
      <c r="AN32" t="s">
        <v>98</v>
      </c>
      <c r="AO32" t="s">
        <v>99</v>
      </c>
      <c r="AP32" t="s">
        <v>87</v>
      </c>
      <c r="AQ32" t="s">
        <v>88</v>
      </c>
      <c r="AR32" t="s">
        <v>100</v>
      </c>
      <c r="AS32" t="s">
        <v>89</v>
      </c>
      <c r="AT32" t="s">
        <v>101</v>
      </c>
      <c r="AU32" t="s">
        <v>90</v>
      </c>
      <c r="AV32" t="s">
        <v>102</v>
      </c>
      <c r="AW32" t="s">
        <v>91</v>
      </c>
      <c r="AX32" t="s">
        <v>115</v>
      </c>
      <c r="AY32" t="s">
        <v>92</v>
      </c>
      <c r="AZ32" t="s">
        <v>93</v>
      </c>
      <c r="BA32" t="s">
        <v>94</v>
      </c>
      <c r="BB32" t="s">
        <v>95</v>
      </c>
      <c r="BC32" t="s">
        <v>88</v>
      </c>
      <c r="BD32" t="s">
        <v>93</v>
      </c>
      <c r="BE32" t="s">
        <v>94</v>
      </c>
      <c r="BF32" t="s">
        <v>95</v>
      </c>
      <c r="BG32" t="s">
        <v>97</v>
      </c>
      <c r="BH32" t="s">
        <v>96</v>
      </c>
      <c r="BI32" t="s">
        <v>90</v>
      </c>
      <c r="BJ32" t="s">
        <v>91</v>
      </c>
      <c r="BK32" t="s">
        <v>94</v>
      </c>
      <c r="BL32" t="s">
        <v>93</v>
      </c>
      <c r="BM32" t="s">
        <v>88</v>
      </c>
      <c r="BN32" t="s">
        <v>95</v>
      </c>
      <c r="BO32" t="s">
        <v>94</v>
      </c>
      <c r="BP32" t="s">
        <v>93</v>
      </c>
      <c r="BQ32" t="s">
        <v>93</v>
      </c>
      <c r="BR32" s="6" t="s">
        <v>186</v>
      </c>
      <c r="BS32" t="s">
        <v>122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21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17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10</v>
      </c>
      <c r="BX32">
        <f>IF(COUNTIF('Resultats Reals'!$G$2:$G$17,AM32)&gt;0,1,0)+IF(COUNTIF('Resultats Reals'!$G$2:$G$17,AN32)&gt;0,1,0)+IF(COUNTIF('Resultats Reals'!$G$2:$G$17,AO32)&gt;0,1,0)+IF(COUNTIF('Resultats Reals'!$G$2:$G$17,AP32)&gt;0,1,0)+IF(COUNTIF('Resultats Reals'!$G$2:$G$17,AQ32)&gt;0,1,0)+IF(COUNTIF('Resultats Reals'!$G$2:$G$17,AR32)&gt;0,1,0)+IF(COUNTIF('Resultats Reals'!$G$2:$G$17,AS32)&gt;0,1,0)+IF(COUNTIF('Resultats Reals'!$G$2:$G$17,AT32)&gt;0,1,0)+IF(COUNTIF('Resultats Reals'!$G$2:$G$17,AU32)&gt;0,1,0)+IF(COUNTIF('Resultats Reals'!$G$2:$G$17,AV32)&gt;0,1,0)+IF(COUNTIF('Resultats Reals'!$G$2:$G$17,AW32)&gt;0,1,0)+IF(COUNTIF('Resultats Reals'!$G$2:$G$17,AX32)&gt;0,1,0)+IF(COUNTIF('Resultats Reals'!$G$2:$G$17,AY32)&gt;0,1,0)+IF(COUNTIF('Resultats Reals'!$G$2:$G$17,AZ32)&gt;0,1,0)+IF(COUNTIF('Resultats Reals'!$G$2:$G$17,BA32)&gt;0,1,0)+IF(COUNTIF('Resultats Reals'!$G$2:$G$17,BB32)&gt;0,1,0)</f>
        <v>0</v>
      </c>
      <c r="BY32">
        <f>IF(COUNTIF('Resultats Reals'!$I$2:$I$9,BC32)&gt;0,1,0)+IF(COUNTIF('Resultats Reals'!$I$2:$I$9,BD32)&gt;0,1,0)+IF(COUNTIF('Resultats Reals'!$I$2:$I$9,BE32)&gt;0,1,0)+IF(COUNTIF('Resultats Reals'!$I$2:$I$9,BF32)&gt;0,1,0)+IF(COUNTIF('Resultats Reals'!$I$2:$I$9,BG32)&gt;0,1,0)+IF(COUNTIF('Resultats Reals'!$I$2:$I$9,BH32)&gt;0,1,0)+IF(COUNTIF('Resultats Reals'!$I$2:$I$9,BI32)&gt;0,1,0)+IF(COUNTIF('Resultats Reals'!$I$2:$I$9,BJ32)&gt;0,1,0)</f>
        <v>0</v>
      </c>
      <c r="BZ32">
        <f>IF(COUNTIF('Resultats Reals'!$K$2:$K$5,BK32)&gt;0,1,0)+IF(COUNTIF('Resultats Reals'!$K$2:$K$5,BL32)&gt;0,1,0)+IF(COUNTIF('Resultats Reals'!$K$2:$K$5,BM32)&gt;0,1,0)+IF(COUNTIF('Resultats Reals'!$K$2:$K$5,BN32)&gt;0,1,0)</f>
        <v>0</v>
      </c>
      <c r="CA32">
        <f>IF(COUNTIF('Resultats Reals'!$M$2:$M$3,BO32)&gt;0,3,0)+IF(COUNTIF('Resultats Reals'!$M$2:$M$3,BP32)&gt;0,3,0)</f>
        <v>0</v>
      </c>
      <c r="CB32">
        <f>IF(BQ32='Resultats Reals'!$N$2,5,0)</f>
        <v>0</v>
      </c>
      <c r="CC32">
        <f>IF(BS32='Resultats Reals'!$O$2,5,0)</f>
        <v>0</v>
      </c>
      <c r="CD32">
        <f>IFERROR(VLOOKUP(BT32,'Resultats Reals'!$R$2:$S$100,2,FALSE),0)</f>
        <v>2</v>
      </c>
      <c r="CE32">
        <f>IF(BR32='Resultats Reals'!$P$2,5,0)</f>
        <v>0</v>
      </c>
      <c r="CF32" s="7">
        <f t="shared" si="0"/>
        <v>50</v>
      </c>
    </row>
    <row r="33" spans="1:84" x14ac:dyDescent="0.25">
      <c r="A33" t="s">
        <v>187</v>
      </c>
      <c r="B33" t="s">
        <v>85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110</v>
      </c>
      <c r="P33" t="s">
        <v>111</v>
      </c>
      <c r="Q33" t="s">
        <v>100</v>
      </c>
      <c r="R33" t="s">
        <v>113</v>
      </c>
      <c r="S33" t="s">
        <v>102</v>
      </c>
      <c r="T33" t="s">
        <v>115</v>
      </c>
      <c r="U33" t="s">
        <v>104</v>
      </c>
      <c r="V33" t="s">
        <v>105</v>
      </c>
      <c r="W33" t="s">
        <v>118</v>
      </c>
      <c r="X33" t="s">
        <v>107</v>
      </c>
      <c r="Y33" t="s">
        <v>108</v>
      </c>
      <c r="Z33" t="s">
        <v>109</v>
      </c>
      <c r="AA33" t="s">
        <v>98</v>
      </c>
      <c r="AB33" t="s">
        <v>99</v>
      </c>
      <c r="AC33" t="s">
        <v>112</v>
      </c>
      <c r="AD33" t="s">
        <v>89</v>
      </c>
      <c r="AE33" t="s">
        <v>114</v>
      </c>
      <c r="AF33" t="s">
        <v>103</v>
      </c>
      <c r="AG33" t="s">
        <v>116</v>
      </c>
      <c r="AH33" t="s">
        <v>117</v>
      </c>
      <c r="AI33" t="s">
        <v>106</v>
      </c>
      <c r="AJ33" t="s">
        <v>119</v>
      </c>
      <c r="AK33" t="s">
        <v>128</v>
      </c>
      <c r="AL33" t="s">
        <v>121</v>
      </c>
      <c r="AM33" t="s">
        <v>90</v>
      </c>
      <c r="AN33" t="s">
        <v>94</v>
      </c>
      <c r="AO33" t="s">
        <v>110</v>
      </c>
      <c r="AP33" t="s">
        <v>91</v>
      </c>
      <c r="AQ33" t="s">
        <v>108</v>
      </c>
      <c r="AR33" t="s">
        <v>93</v>
      </c>
      <c r="AS33" t="s">
        <v>101</v>
      </c>
      <c r="AT33" t="s">
        <v>92</v>
      </c>
      <c r="AU33" t="s">
        <v>88</v>
      </c>
      <c r="AV33" t="s">
        <v>118</v>
      </c>
      <c r="AW33" t="s">
        <v>112</v>
      </c>
      <c r="AX33" t="s">
        <v>97</v>
      </c>
      <c r="AY33" t="s">
        <v>95</v>
      </c>
      <c r="AZ33" t="s">
        <v>104</v>
      </c>
      <c r="BA33" t="s">
        <v>87</v>
      </c>
      <c r="BB33" t="s">
        <v>96</v>
      </c>
      <c r="BC33" t="s">
        <v>94</v>
      </c>
      <c r="BD33" t="s">
        <v>91</v>
      </c>
      <c r="BE33" t="s">
        <v>93</v>
      </c>
      <c r="BF33" t="s">
        <v>101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97</v>
      </c>
      <c r="BN33" t="s">
        <v>96</v>
      </c>
      <c r="BO33" t="s">
        <v>93</v>
      </c>
      <c r="BP33" t="s">
        <v>96</v>
      </c>
      <c r="BQ33" t="s">
        <v>93</v>
      </c>
      <c r="BR33" s="6" t="s">
        <v>188</v>
      </c>
      <c r="BS33" t="s">
        <v>122</v>
      </c>
      <c r="BT33" t="s">
        <v>123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18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12.5</v>
      </c>
      <c r="BX33">
        <f>IF(COUNTIF('Resultats Reals'!$G$2:$G$17,AM33)&gt;0,1,0)+IF(COUNTIF('Resultats Reals'!$G$2:$G$17,AN33)&gt;0,1,0)+IF(COUNTIF('Resultats Reals'!$G$2:$G$17,AO33)&gt;0,1,0)+IF(COUNTIF('Resultats Reals'!$G$2:$G$17,AP33)&gt;0,1,0)+IF(COUNTIF('Resultats Reals'!$G$2:$G$17,AQ33)&gt;0,1,0)+IF(COUNTIF('Resultats Reals'!$G$2:$G$17,AR33)&gt;0,1,0)+IF(COUNTIF('Resultats Reals'!$G$2:$G$17,AS33)&gt;0,1,0)+IF(COUNTIF('Resultats Reals'!$G$2:$G$17,AT33)&gt;0,1,0)+IF(COUNTIF('Resultats Reals'!$G$2:$G$17,AU33)&gt;0,1,0)+IF(COUNTIF('Resultats Reals'!$G$2:$G$17,AV33)&gt;0,1,0)+IF(COUNTIF('Resultats Reals'!$G$2:$G$17,AW33)&gt;0,1,0)+IF(COUNTIF('Resultats Reals'!$G$2:$G$17,AX33)&gt;0,1,0)+IF(COUNTIF('Resultats Reals'!$G$2:$G$17,AY33)&gt;0,1,0)+IF(COUNTIF('Resultats Reals'!$G$2:$G$17,AZ33)&gt;0,1,0)+IF(COUNTIF('Resultats Reals'!$G$2:$G$17,BA33)&gt;0,1,0)+IF(COUNTIF('Resultats Reals'!$G$2:$G$17,BB33)&gt;0,1,0)</f>
        <v>0</v>
      </c>
      <c r="BY33">
        <f>IF(COUNTIF('Resultats Reals'!$I$2:$I$9,BC33)&gt;0,1,0)+IF(COUNTIF('Resultats Reals'!$I$2:$I$9,BD33)&gt;0,1,0)+IF(COUNTIF('Resultats Reals'!$I$2:$I$9,BE33)&gt;0,1,0)+IF(COUNTIF('Resultats Reals'!$I$2:$I$9,BF33)&gt;0,1,0)+IF(COUNTIF('Resultats Reals'!$I$2:$I$9,BG33)&gt;0,1,0)+IF(COUNTIF('Resultats Reals'!$I$2:$I$9,BH33)&gt;0,1,0)+IF(COUNTIF('Resultats Reals'!$I$2:$I$9,BI33)&gt;0,1,0)+IF(COUNTIF('Resultats Reals'!$I$2:$I$9,BJ33)&gt;0,1,0)</f>
        <v>0</v>
      </c>
      <c r="BZ33">
        <f>IF(COUNTIF('Resultats Reals'!$K$2:$K$5,BK33)&gt;0,1,0)+IF(COUNTIF('Resultats Reals'!$K$2:$K$5,BL33)&gt;0,1,0)+IF(COUNTIF('Resultats Reals'!$K$2:$K$5,BM33)&gt;0,1,0)+IF(COUNTIF('Resultats Reals'!$K$2:$K$5,BN33)&gt;0,1,0)</f>
        <v>0</v>
      </c>
      <c r="CA33">
        <f>IF(COUNTIF('Resultats Reals'!$M$2:$M$3,BO33)&gt;0,3,0)+IF(COUNTIF('Resultats Reals'!$M$2:$M$3,BP33)&gt;0,3,0)</f>
        <v>0</v>
      </c>
      <c r="CB33">
        <f>IF(BQ33='Resultats Reals'!$N$2,5,0)</f>
        <v>0</v>
      </c>
      <c r="CC33">
        <f>IF(BS33='Resultats Reals'!$O$2,5,0)</f>
        <v>0</v>
      </c>
      <c r="CD33">
        <f>IFERROR(VLOOKUP(BT33,'Resultats Reals'!$R$2:$S$100,2,FALSE),0)</f>
        <v>2</v>
      </c>
      <c r="CE33">
        <f>IF(BR33='Resultats Reals'!$P$2,5,0)</f>
        <v>0</v>
      </c>
      <c r="CF33" s="7">
        <f t="shared" si="0"/>
        <v>47.5</v>
      </c>
    </row>
    <row r="34" spans="1:84" x14ac:dyDescent="0.25">
      <c r="A34" t="s">
        <v>189</v>
      </c>
      <c r="B34" t="s">
        <v>148</v>
      </c>
      <c r="C34" t="s">
        <v>86</v>
      </c>
      <c r="D34" t="s">
        <v>87</v>
      </c>
      <c r="E34" t="s">
        <v>88</v>
      </c>
      <c r="F34" t="s">
        <v>89</v>
      </c>
      <c r="G34" t="s">
        <v>90</v>
      </c>
      <c r="H34" t="s">
        <v>91</v>
      </c>
      <c r="I34" t="s">
        <v>92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98</v>
      </c>
      <c r="P34" t="s">
        <v>99</v>
      </c>
      <c r="Q34" t="s">
        <v>100</v>
      </c>
      <c r="R34" t="s">
        <v>101</v>
      </c>
      <c r="S34" t="s">
        <v>102</v>
      </c>
      <c r="T34" t="s">
        <v>115</v>
      </c>
      <c r="U34" t="s">
        <v>104</v>
      </c>
      <c r="V34" t="s">
        <v>105</v>
      </c>
      <c r="W34" t="s">
        <v>118</v>
      </c>
      <c r="X34" t="s">
        <v>107</v>
      </c>
      <c r="Y34" t="s">
        <v>108</v>
      </c>
      <c r="Z34" t="s">
        <v>145</v>
      </c>
      <c r="AA34" t="s">
        <v>131</v>
      </c>
      <c r="AB34" t="s">
        <v>126</v>
      </c>
      <c r="AC34" t="s">
        <v>112</v>
      </c>
      <c r="AD34" t="s">
        <v>113</v>
      </c>
      <c r="AE34" t="s">
        <v>114</v>
      </c>
      <c r="AF34" t="s">
        <v>103</v>
      </c>
      <c r="AG34" t="s">
        <v>139</v>
      </c>
      <c r="AH34" t="s">
        <v>117</v>
      </c>
      <c r="AI34" t="s">
        <v>106</v>
      </c>
      <c r="AJ34" t="s">
        <v>119</v>
      </c>
      <c r="AK34" t="s">
        <v>128</v>
      </c>
      <c r="AL34" t="s">
        <v>109</v>
      </c>
      <c r="AM34" t="s">
        <v>86</v>
      </c>
      <c r="AN34" t="s">
        <v>88</v>
      </c>
      <c r="AO34" t="s">
        <v>101</v>
      </c>
      <c r="AP34" t="s">
        <v>90</v>
      </c>
      <c r="AQ34" t="s">
        <v>91</v>
      </c>
      <c r="AR34" t="s">
        <v>93</v>
      </c>
      <c r="AS34" t="s">
        <v>105</v>
      </c>
      <c r="AT34" t="s">
        <v>94</v>
      </c>
      <c r="AU34" t="s">
        <v>118</v>
      </c>
      <c r="AV34" t="s">
        <v>95</v>
      </c>
      <c r="AW34" t="s">
        <v>96</v>
      </c>
      <c r="AX34" t="s">
        <v>108</v>
      </c>
      <c r="AY34" t="s">
        <v>97</v>
      </c>
      <c r="AZ34" t="s">
        <v>100</v>
      </c>
      <c r="BA34" t="s">
        <v>109</v>
      </c>
      <c r="BB34" t="s">
        <v>89</v>
      </c>
      <c r="BC34" t="s">
        <v>88</v>
      </c>
      <c r="BD34" t="s">
        <v>90</v>
      </c>
      <c r="BE34" t="s">
        <v>93</v>
      </c>
      <c r="BF34" t="s">
        <v>95</v>
      </c>
      <c r="BG34" t="s">
        <v>94</v>
      </c>
      <c r="BH34" t="s">
        <v>96</v>
      </c>
      <c r="BI34" t="s">
        <v>97</v>
      </c>
      <c r="BJ34" t="s">
        <v>105</v>
      </c>
      <c r="BK34" t="s">
        <v>95</v>
      </c>
      <c r="BL34" t="s">
        <v>96</v>
      </c>
      <c r="BM34" t="s">
        <v>93</v>
      </c>
      <c r="BN34" t="s">
        <v>97</v>
      </c>
      <c r="BO34" t="s">
        <v>93</v>
      </c>
      <c r="BP34" t="s">
        <v>95</v>
      </c>
      <c r="BQ34" t="s">
        <v>95</v>
      </c>
      <c r="BR34" s="6" t="s">
        <v>190</v>
      </c>
      <c r="BS34" t="s">
        <v>155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20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14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9.5</v>
      </c>
      <c r="BX34">
        <f>IF(COUNTIF('Resultats Reals'!$G$2:$G$17,AM34)&gt;0,1,0)+IF(COUNTIF('Resultats Reals'!$G$2:$G$17,AN34)&gt;0,1,0)+IF(COUNTIF('Resultats Reals'!$G$2:$G$17,AO34)&gt;0,1,0)+IF(COUNTIF('Resultats Reals'!$G$2:$G$17,AP34)&gt;0,1,0)+IF(COUNTIF('Resultats Reals'!$G$2:$G$17,AQ34)&gt;0,1,0)+IF(COUNTIF('Resultats Reals'!$G$2:$G$17,AR34)&gt;0,1,0)+IF(COUNTIF('Resultats Reals'!$G$2:$G$17,AS34)&gt;0,1,0)+IF(COUNTIF('Resultats Reals'!$G$2:$G$17,AT34)&gt;0,1,0)+IF(COUNTIF('Resultats Reals'!$G$2:$G$17,AU34)&gt;0,1,0)+IF(COUNTIF('Resultats Reals'!$G$2:$G$17,AV34)&gt;0,1,0)+IF(COUNTIF('Resultats Reals'!$G$2:$G$17,AW34)&gt;0,1,0)+IF(COUNTIF('Resultats Reals'!$G$2:$G$17,AX34)&gt;0,1,0)+IF(COUNTIF('Resultats Reals'!$G$2:$G$17,AY34)&gt;0,1,0)+IF(COUNTIF('Resultats Reals'!$G$2:$G$17,AZ34)&gt;0,1,0)+IF(COUNTIF('Resultats Reals'!$G$2:$G$17,BA34)&gt;0,1,0)+IF(COUNTIF('Resultats Reals'!$G$2:$G$17,BB34)&gt;0,1,0)</f>
        <v>0</v>
      </c>
      <c r="BY34">
        <f>IF(COUNTIF('Resultats Reals'!$I$2:$I$9,BC34)&gt;0,1,0)+IF(COUNTIF('Resultats Reals'!$I$2:$I$9,BD34)&gt;0,1,0)+IF(COUNTIF('Resultats Reals'!$I$2:$I$9,BE34)&gt;0,1,0)+IF(COUNTIF('Resultats Reals'!$I$2:$I$9,BF34)&gt;0,1,0)+IF(COUNTIF('Resultats Reals'!$I$2:$I$9,BG34)&gt;0,1,0)+IF(COUNTIF('Resultats Reals'!$I$2:$I$9,BH34)&gt;0,1,0)+IF(COUNTIF('Resultats Reals'!$I$2:$I$9,BI34)&gt;0,1,0)+IF(COUNTIF('Resultats Reals'!$I$2:$I$9,BJ34)&gt;0,1,0)</f>
        <v>0</v>
      </c>
      <c r="BZ34">
        <f>IF(COUNTIF('Resultats Reals'!$K$2:$K$5,BK34)&gt;0,1,0)+IF(COUNTIF('Resultats Reals'!$K$2:$K$5,BL34)&gt;0,1,0)+IF(COUNTIF('Resultats Reals'!$K$2:$K$5,BM34)&gt;0,1,0)+IF(COUNTIF('Resultats Reals'!$K$2:$K$5,BN34)&gt;0,1,0)</f>
        <v>0</v>
      </c>
      <c r="CA34">
        <f>IF(COUNTIF('Resultats Reals'!$M$2:$M$3,BO34)&gt;0,3,0)+IF(COUNTIF('Resultats Reals'!$M$2:$M$3,BP34)&gt;0,3,0)</f>
        <v>0</v>
      </c>
      <c r="CB34">
        <f>IF(BQ34='Resultats Reals'!$N$2,5,0)</f>
        <v>0</v>
      </c>
      <c r="CC34">
        <f>IF(BS34='Resultats Reals'!$O$2,5,0)</f>
        <v>0</v>
      </c>
      <c r="CD34">
        <f>IFERROR(VLOOKUP(BT34,'Resultats Reals'!$R$2:$S$100,2,FALSE),0)</f>
        <v>2</v>
      </c>
      <c r="CE34">
        <f>IF(BR34='Resultats Reals'!$P$2,5,0)</f>
        <v>0</v>
      </c>
      <c r="CF34" s="7">
        <f t="shared" si="0"/>
        <v>45.5</v>
      </c>
    </row>
    <row r="35" spans="1:84" x14ac:dyDescent="0.25">
      <c r="A35" t="s">
        <v>191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114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111</v>
      </c>
      <c r="Q35" t="s">
        <v>100</v>
      </c>
      <c r="R35" t="s">
        <v>89</v>
      </c>
      <c r="S35" t="s">
        <v>90</v>
      </c>
      <c r="T35" t="s">
        <v>115</v>
      </c>
      <c r="U35" t="s">
        <v>104</v>
      </c>
      <c r="V35" t="s">
        <v>105</v>
      </c>
      <c r="W35" t="s">
        <v>106</v>
      </c>
      <c r="X35" t="s">
        <v>107</v>
      </c>
      <c r="Y35" t="s">
        <v>108</v>
      </c>
      <c r="Z35" t="s">
        <v>109</v>
      </c>
      <c r="AA35" t="s">
        <v>110</v>
      </c>
      <c r="AB35" t="s">
        <v>99</v>
      </c>
      <c r="AC35" t="s">
        <v>112</v>
      </c>
      <c r="AD35" t="s">
        <v>113</v>
      </c>
      <c r="AE35" t="s">
        <v>102</v>
      </c>
      <c r="AF35" t="s">
        <v>103</v>
      </c>
      <c r="AG35" t="s">
        <v>116</v>
      </c>
      <c r="AH35" t="s">
        <v>117</v>
      </c>
      <c r="AI35" t="s">
        <v>118</v>
      </c>
      <c r="AJ35" t="s">
        <v>119</v>
      </c>
      <c r="AK35" t="s">
        <v>128</v>
      </c>
      <c r="AL35" t="s">
        <v>121</v>
      </c>
      <c r="AM35" t="s">
        <v>114</v>
      </c>
      <c r="AN35" t="s">
        <v>94</v>
      </c>
      <c r="AO35" t="s">
        <v>111</v>
      </c>
      <c r="AP35" t="s">
        <v>91</v>
      </c>
      <c r="AQ35" t="s">
        <v>108</v>
      </c>
      <c r="AR35" t="s">
        <v>93</v>
      </c>
      <c r="AS35" t="s">
        <v>101</v>
      </c>
      <c r="AT35" t="s">
        <v>92</v>
      </c>
      <c r="AU35" t="s">
        <v>88</v>
      </c>
      <c r="AV35" t="s">
        <v>106</v>
      </c>
      <c r="AW35" t="s">
        <v>86</v>
      </c>
      <c r="AX35" t="s">
        <v>97</v>
      </c>
      <c r="AY35" t="s">
        <v>95</v>
      </c>
      <c r="AZ35" t="s">
        <v>89</v>
      </c>
      <c r="BA35" t="s">
        <v>87</v>
      </c>
      <c r="BB35" t="s">
        <v>96</v>
      </c>
      <c r="BC35" t="s">
        <v>94</v>
      </c>
      <c r="BD35" t="s">
        <v>91</v>
      </c>
      <c r="BE35" t="s">
        <v>93</v>
      </c>
      <c r="BF35" t="s">
        <v>101</v>
      </c>
      <c r="BG35" t="s">
        <v>88</v>
      </c>
      <c r="BH35" t="s">
        <v>97</v>
      </c>
      <c r="BI35" t="s">
        <v>95</v>
      </c>
      <c r="BJ35" t="s">
        <v>96</v>
      </c>
      <c r="BK35" t="s">
        <v>91</v>
      </c>
      <c r="BL35" t="s">
        <v>93</v>
      </c>
      <c r="BM35" t="s">
        <v>97</v>
      </c>
      <c r="BN35" t="s">
        <v>88</v>
      </c>
      <c r="BO35" t="s">
        <v>91</v>
      </c>
      <c r="BP35" t="s">
        <v>97</v>
      </c>
      <c r="BQ35" t="s">
        <v>97</v>
      </c>
      <c r="BS35" t="s">
        <v>167</v>
      </c>
      <c r="BT35" t="s">
        <v>155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17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16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14.5</v>
      </c>
      <c r="BX35">
        <f>IF(COUNTIF('Resultats Reals'!$G$2:$G$17,AM35)&gt;0,1,0)+IF(COUNTIF('Resultats Reals'!$G$2:$G$17,AN35)&gt;0,1,0)+IF(COUNTIF('Resultats Reals'!$G$2:$G$17,AO35)&gt;0,1,0)+IF(COUNTIF('Resultats Reals'!$G$2:$G$17,AP35)&gt;0,1,0)+IF(COUNTIF('Resultats Reals'!$G$2:$G$17,AQ35)&gt;0,1,0)+IF(COUNTIF('Resultats Reals'!$G$2:$G$17,AR35)&gt;0,1,0)+IF(COUNTIF('Resultats Reals'!$G$2:$G$17,AS35)&gt;0,1,0)+IF(COUNTIF('Resultats Reals'!$G$2:$G$17,AT35)&gt;0,1,0)+IF(COUNTIF('Resultats Reals'!$G$2:$G$17,AU35)&gt;0,1,0)+IF(COUNTIF('Resultats Reals'!$G$2:$G$17,AV35)&gt;0,1,0)+IF(COUNTIF('Resultats Reals'!$G$2:$G$17,AW35)&gt;0,1,0)+IF(COUNTIF('Resultats Reals'!$G$2:$G$17,AX35)&gt;0,1,0)+IF(COUNTIF('Resultats Reals'!$G$2:$G$17,AY35)&gt;0,1,0)+IF(COUNTIF('Resultats Reals'!$G$2:$G$17,AZ35)&gt;0,1,0)+IF(COUNTIF('Resultats Reals'!$G$2:$G$17,BA35)&gt;0,1,0)+IF(COUNTIF('Resultats Reals'!$G$2:$G$17,BB35)&gt;0,1,0)</f>
        <v>0</v>
      </c>
      <c r="BY35">
        <f>IF(COUNTIF('Resultats Reals'!$I$2:$I$9,BC35)&gt;0,1,0)+IF(COUNTIF('Resultats Reals'!$I$2:$I$9,BD35)&gt;0,1,0)+IF(COUNTIF('Resultats Reals'!$I$2:$I$9,BE35)&gt;0,1,0)+IF(COUNTIF('Resultats Reals'!$I$2:$I$9,BF35)&gt;0,1,0)+IF(COUNTIF('Resultats Reals'!$I$2:$I$9,BG35)&gt;0,1,0)+IF(COUNTIF('Resultats Reals'!$I$2:$I$9,BH35)&gt;0,1,0)+IF(COUNTIF('Resultats Reals'!$I$2:$I$9,BI35)&gt;0,1,0)+IF(COUNTIF('Resultats Reals'!$I$2:$I$9,BJ35)&gt;0,1,0)</f>
        <v>0</v>
      </c>
      <c r="BZ35">
        <f>IF(COUNTIF('Resultats Reals'!$K$2:$K$5,BK35)&gt;0,1,0)+IF(COUNTIF('Resultats Reals'!$K$2:$K$5,BL35)&gt;0,1,0)+IF(COUNTIF('Resultats Reals'!$K$2:$K$5,BM35)&gt;0,1,0)+IF(COUNTIF('Resultats Reals'!$K$2:$K$5,BN35)&gt;0,1,0)</f>
        <v>0</v>
      </c>
      <c r="CA35">
        <f>IF(COUNTIF('Resultats Reals'!$M$2:$M$3,BO35)&gt;0,3,0)+IF(COUNTIF('Resultats Reals'!$M$2:$M$3,BP35)&gt;0,3,0)</f>
        <v>0</v>
      </c>
      <c r="CB35">
        <f>IF(BQ35='Resultats Reals'!$N$2,5,0)</f>
        <v>0</v>
      </c>
      <c r="CC35">
        <f>IF(BS35='Resultats Reals'!$O$2,5,0)</f>
        <v>0</v>
      </c>
      <c r="CD35">
        <f>IFERROR(VLOOKUP(BT35,'Resultats Reals'!$R$2:$S$100,2,FALSE),0)</f>
        <v>2</v>
      </c>
      <c r="CE35">
        <f>IF(BR35='Resultats Reals'!$P$2,5,0)</f>
        <v>0</v>
      </c>
      <c r="CF35" s="7">
        <f t="shared" si="0"/>
        <v>49.5</v>
      </c>
    </row>
    <row r="36" spans="1:84" x14ac:dyDescent="0.25">
      <c r="A36" t="s">
        <v>192</v>
      </c>
      <c r="B36" t="s">
        <v>85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98</v>
      </c>
      <c r="P36" t="s">
        <v>99</v>
      </c>
      <c r="Q36" t="s">
        <v>88</v>
      </c>
      <c r="R36" t="s">
        <v>89</v>
      </c>
      <c r="S36" t="s">
        <v>114</v>
      </c>
      <c r="T36" t="s">
        <v>115</v>
      </c>
      <c r="U36" t="s">
        <v>104</v>
      </c>
      <c r="V36" t="s">
        <v>105</v>
      </c>
      <c r="W36" t="s">
        <v>106</v>
      </c>
      <c r="X36" t="s">
        <v>119</v>
      </c>
      <c r="Y36" t="s">
        <v>108</v>
      </c>
      <c r="Z36" t="s">
        <v>109</v>
      </c>
      <c r="AA36" t="s">
        <v>110</v>
      </c>
      <c r="AB36" t="s">
        <v>111</v>
      </c>
      <c r="AC36" t="s">
        <v>112</v>
      </c>
      <c r="AD36" t="s">
        <v>113</v>
      </c>
      <c r="AE36" t="s">
        <v>102</v>
      </c>
      <c r="AF36" t="s">
        <v>103</v>
      </c>
      <c r="AG36" t="s">
        <v>116</v>
      </c>
      <c r="AH36" t="s">
        <v>117</v>
      </c>
      <c r="AI36" t="s">
        <v>118</v>
      </c>
      <c r="AJ36" t="s">
        <v>107</v>
      </c>
      <c r="AK36" t="s">
        <v>128</v>
      </c>
      <c r="AL36" t="s">
        <v>121</v>
      </c>
      <c r="AM36" t="s">
        <v>99</v>
      </c>
      <c r="AN36" t="s">
        <v>100</v>
      </c>
      <c r="AO36" t="s">
        <v>90</v>
      </c>
      <c r="AP36" t="s">
        <v>88</v>
      </c>
      <c r="AQ36" t="s">
        <v>114</v>
      </c>
      <c r="AR36" t="s">
        <v>94</v>
      </c>
      <c r="AS36" t="s">
        <v>118</v>
      </c>
      <c r="AT36" t="s">
        <v>97</v>
      </c>
      <c r="AU36" t="s">
        <v>92</v>
      </c>
      <c r="AV36" t="s">
        <v>101</v>
      </c>
      <c r="AW36" t="s">
        <v>93</v>
      </c>
      <c r="AX36" t="s">
        <v>108</v>
      </c>
      <c r="AY36" t="s">
        <v>87</v>
      </c>
      <c r="AZ36" t="s">
        <v>89</v>
      </c>
      <c r="BA36" t="s">
        <v>95</v>
      </c>
      <c r="BB36" t="s">
        <v>96</v>
      </c>
      <c r="BC36" t="s">
        <v>90</v>
      </c>
      <c r="BD36" t="s">
        <v>100</v>
      </c>
      <c r="BE36" t="s">
        <v>94</v>
      </c>
      <c r="BF36" t="s">
        <v>97</v>
      </c>
      <c r="BG36" t="s">
        <v>93</v>
      </c>
      <c r="BH36" t="s">
        <v>92</v>
      </c>
      <c r="BI36" t="s">
        <v>96</v>
      </c>
      <c r="BJ36" t="s">
        <v>95</v>
      </c>
      <c r="BK36" t="s">
        <v>90</v>
      </c>
      <c r="BL36" t="s">
        <v>93</v>
      </c>
      <c r="BM36" t="s">
        <v>94</v>
      </c>
      <c r="BN36" t="s">
        <v>96</v>
      </c>
      <c r="BO36" t="s">
        <v>93</v>
      </c>
      <c r="BP36" t="s">
        <v>94</v>
      </c>
      <c r="BQ36" t="s">
        <v>93</v>
      </c>
      <c r="BS36" t="s">
        <v>122</v>
      </c>
      <c r="BT36" t="s">
        <v>155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17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15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14.5</v>
      </c>
      <c r="BX36">
        <f>IF(COUNTIF('Resultats Reals'!$G$2:$G$17,AM36)&gt;0,1,0)+IF(COUNTIF('Resultats Reals'!$G$2:$G$17,AN36)&gt;0,1,0)+IF(COUNTIF('Resultats Reals'!$G$2:$G$17,AO36)&gt;0,1,0)+IF(COUNTIF('Resultats Reals'!$G$2:$G$17,AP36)&gt;0,1,0)+IF(COUNTIF('Resultats Reals'!$G$2:$G$17,AQ36)&gt;0,1,0)+IF(COUNTIF('Resultats Reals'!$G$2:$G$17,AR36)&gt;0,1,0)+IF(COUNTIF('Resultats Reals'!$G$2:$G$17,AS36)&gt;0,1,0)+IF(COUNTIF('Resultats Reals'!$G$2:$G$17,AT36)&gt;0,1,0)+IF(COUNTIF('Resultats Reals'!$G$2:$G$17,AU36)&gt;0,1,0)+IF(COUNTIF('Resultats Reals'!$G$2:$G$17,AV36)&gt;0,1,0)+IF(COUNTIF('Resultats Reals'!$G$2:$G$17,AW36)&gt;0,1,0)+IF(COUNTIF('Resultats Reals'!$G$2:$G$17,AX36)&gt;0,1,0)+IF(COUNTIF('Resultats Reals'!$G$2:$G$17,AY36)&gt;0,1,0)+IF(COUNTIF('Resultats Reals'!$G$2:$G$17,AZ36)&gt;0,1,0)+IF(COUNTIF('Resultats Reals'!$G$2:$G$17,BA36)&gt;0,1,0)+IF(COUNTIF('Resultats Reals'!$G$2:$G$17,BB36)&gt;0,1,0)</f>
        <v>0</v>
      </c>
      <c r="BY36">
        <f>IF(COUNTIF('Resultats Reals'!$I$2:$I$9,BC36)&gt;0,1,0)+IF(COUNTIF('Resultats Reals'!$I$2:$I$9,BD36)&gt;0,1,0)+IF(COUNTIF('Resultats Reals'!$I$2:$I$9,BE36)&gt;0,1,0)+IF(COUNTIF('Resultats Reals'!$I$2:$I$9,BF36)&gt;0,1,0)+IF(COUNTIF('Resultats Reals'!$I$2:$I$9,BG36)&gt;0,1,0)+IF(COUNTIF('Resultats Reals'!$I$2:$I$9,BH36)&gt;0,1,0)+IF(COUNTIF('Resultats Reals'!$I$2:$I$9,BI36)&gt;0,1,0)+IF(COUNTIF('Resultats Reals'!$I$2:$I$9,BJ36)&gt;0,1,0)</f>
        <v>0</v>
      </c>
      <c r="BZ36">
        <f>IF(COUNTIF('Resultats Reals'!$K$2:$K$5,BK36)&gt;0,1,0)+IF(COUNTIF('Resultats Reals'!$K$2:$K$5,BL36)&gt;0,1,0)+IF(COUNTIF('Resultats Reals'!$K$2:$K$5,BM36)&gt;0,1,0)+IF(COUNTIF('Resultats Reals'!$K$2:$K$5,BN36)&gt;0,1,0)</f>
        <v>0</v>
      </c>
      <c r="CA36">
        <f>IF(COUNTIF('Resultats Reals'!$M$2:$M$3,BO36)&gt;0,3,0)+IF(COUNTIF('Resultats Reals'!$M$2:$M$3,BP36)&gt;0,3,0)</f>
        <v>0</v>
      </c>
      <c r="CB36">
        <f>IF(BQ36='Resultats Reals'!$N$2,5,0)</f>
        <v>0</v>
      </c>
      <c r="CC36">
        <f>IF(BS36='Resultats Reals'!$O$2,5,0)</f>
        <v>0</v>
      </c>
      <c r="CD36">
        <f>IFERROR(VLOOKUP(BT36,'Resultats Reals'!$R$2:$S$100,2,FALSE),0)</f>
        <v>2</v>
      </c>
      <c r="CE36">
        <f>IF(BR36='Resultats Reals'!$P$2,5,0)</f>
        <v>0</v>
      </c>
      <c r="CF36" s="7">
        <f t="shared" si="0"/>
        <v>48.5</v>
      </c>
    </row>
    <row r="37" spans="1:84" x14ac:dyDescent="0.25">
      <c r="A37" t="s">
        <v>193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118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89</v>
      </c>
      <c r="S37" t="s">
        <v>102</v>
      </c>
      <c r="T37" t="s">
        <v>103</v>
      </c>
      <c r="U37" t="s">
        <v>104</v>
      </c>
      <c r="V37" t="s">
        <v>105</v>
      </c>
      <c r="W37" t="s">
        <v>94</v>
      </c>
      <c r="X37" t="s">
        <v>107</v>
      </c>
      <c r="Y37" t="s">
        <v>108</v>
      </c>
      <c r="Z37" t="s">
        <v>109</v>
      </c>
      <c r="AA37" t="s">
        <v>110</v>
      </c>
      <c r="AB37" t="s">
        <v>111</v>
      </c>
      <c r="AC37" t="s">
        <v>112</v>
      </c>
      <c r="AD37" t="s">
        <v>127</v>
      </c>
      <c r="AE37" t="s">
        <v>114</v>
      </c>
      <c r="AF37" t="s">
        <v>115</v>
      </c>
      <c r="AG37" t="s">
        <v>139</v>
      </c>
      <c r="AH37" t="s">
        <v>117</v>
      </c>
      <c r="AI37" t="s">
        <v>106</v>
      </c>
      <c r="AJ37" t="s">
        <v>119</v>
      </c>
      <c r="AK37" t="s">
        <v>128</v>
      </c>
      <c r="AL37" t="s">
        <v>121</v>
      </c>
      <c r="AM37" t="s">
        <v>90</v>
      </c>
      <c r="AN37" t="s">
        <v>118</v>
      </c>
      <c r="AO37" t="s">
        <v>98</v>
      </c>
      <c r="AP37" t="s">
        <v>91</v>
      </c>
      <c r="AQ37" t="s">
        <v>108</v>
      </c>
      <c r="AR37" t="s">
        <v>93</v>
      </c>
      <c r="AS37" t="s">
        <v>101</v>
      </c>
      <c r="AT37" t="s">
        <v>92</v>
      </c>
      <c r="AU37" t="s">
        <v>88</v>
      </c>
      <c r="AV37" t="s">
        <v>94</v>
      </c>
      <c r="AW37" t="s">
        <v>86</v>
      </c>
      <c r="AX37" t="s">
        <v>97</v>
      </c>
      <c r="AY37" t="s">
        <v>95</v>
      </c>
      <c r="AZ37" t="s">
        <v>89</v>
      </c>
      <c r="BA37" t="s">
        <v>87</v>
      </c>
      <c r="BB37" t="s">
        <v>96</v>
      </c>
      <c r="BC37" t="s">
        <v>90</v>
      </c>
      <c r="BD37" t="s">
        <v>91</v>
      </c>
      <c r="BE37" t="s">
        <v>93</v>
      </c>
      <c r="BF37" t="s">
        <v>101</v>
      </c>
      <c r="BG37" t="s">
        <v>88</v>
      </c>
      <c r="BH37" t="s">
        <v>97</v>
      </c>
      <c r="BI37" t="s">
        <v>95</v>
      </c>
      <c r="BJ37" t="s">
        <v>96</v>
      </c>
      <c r="BK37" t="s">
        <v>91</v>
      </c>
      <c r="BL37" t="s">
        <v>93</v>
      </c>
      <c r="BM37" t="s">
        <v>88</v>
      </c>
      <c r="BN37" t="s">
        <v>96</v>
      </c>
      <c r="BO37" t="s">
        <v>93</v>
      </c>
      <c r="BP37" t="s">
        <v>96</v>
      </c>
      <c r="BQ37" t="s">
        <v>96</v>
      </c>
      <c r="BS37" t="s">
        <v>194</v>
      </c>
      <c r="BT37" t="s">
        <v>195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19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17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10.5</v>
      </c>
      <c r="BX37">
        <f>IF(COUNTIF('Resultats Reals'!$G$2:$G$17,AM37)&gt;0,1,0)+IF(COUNTIF('Resultats Reals'!$G$2:$G$17,AN37)&gt;0,1,0)+IF(COUNTIF('Resultats Reals'!$G$2:$G$17,AO37)&gt;0,1,0)+IF(COUNTIF('Resultats Reals'!$G$2:$G$17,AP37)&gt;0,1,0)+IF(COUNTIF('Resultats Reals'!$G$2:$G$17,AQ37)&gt;0,1,0)+IF(COUNTIF('Resultats Reals'!$G$2:$G$17,AR37)&gt;0,1,0)+IF(COUNTIF('Resultats Reals'!$G$2:$G$17,AS37)&gt;0,1,0)+IF(COUNTIF('Resultats Reals'!$G$2:$G$17,AT37)&gt;0,1,0)+IF(COUNTIF('Resultats Reals'!$G$2:$G$17,AU37)&gt;0,1,0)+IF(COUNTIF('Resultats Reals'!$G$2:$G$17,AV37)&gt;0,1,0)+IF(COUNTIF('Resultats Reals'!$G$2:$G$17,AW37)&gt;0,1,0)+IF(COUNTIF('Resultats Reals'!$G$2:$G$17,AX37)&gt;0,1,0)+IF(COUNTIF('Resultats Reals'!$G$2:$G$17,AY37)&gt;0,1,0)+IF(COUNTIF('Resultats Reals'!$G$2:$G$17,AZ37)&gt;0,1,0)+IF(COUNTIF('Resultats Reals'!$G$2:$G$17,BA37)&gt;0,1,0)+IF(COUNTIF('Resultats Reals'!$G$2:$G$17,BB37)&gt;0,1,0)</f>
        <v>0</v>
      </c>
      <c r="BY37">
        <f>IF(COUNTIF('Resultats Reals'!$I$2:$I$9,BC37)&gt;0,1,0)+IF(COUNTIF('Resultats Reals'!$I$2:$I$9,BD37)&gt;0,1,0)+IF(COUNTIF('Resultats Reals'!$I$2:$I$9,BE37)&gt;0,1,0)+IF(COUNTIF('Resultats Reals'!$I$2:$I$9,BF37)&gt;0,1,0)+IF(COUNTIF('Resultats Reals'!$I$2:$I$9,BG37)&gt;0,1,0)+IF(COUNTIF('Resultats Reals'!$I$2:$I$9,BH37)&gt;0,1,0)+IF(COUNTIF('Resultats Reals'!$I$2:$I$9,BI37)&gt;0,1,0)+IF(COUNTIF('Resultats Reals'!$I$2:$I$9,BJ37)&gt;0,1,0)</f>
        <v>0</v>
      </c>
      <c r="BZ37">
        <f>IF(COUNTIF('Resultats Reals'!$K$2:$K$5,BK37)&gt;0,1,0)+IF(COUNTIF('Resultats Reals'!$K$2:$K$5,BL37)&gt;0,1,0)+IF(COUNTIF('Resultats Reals'!$K$2:$K$5,BM37)&gt;0,1,0)+IF(COUNTIF('Resultats Reals'!$K$2:$K$5,BN37)&gt;0,1,0)</f>
        <v>0</v>
      </c>
      <c r="CA37">
        <f>IF(COUNTIF('Resultats Reals'!$M$2:$M$3,BO37)&gt;0,3,0)+IF(COUNTIF('Resultats Reals'!$M$2:$M$3,BP37)&gt;0,3,0)</f>
        <v>0</v>
      </c>
      <c r="CB37">
        <f>IF(BQ37='Resultats Reals'!$N$2,5,0)</f>
        <v>0</v>
      </c>
      <c r="CC37">
        <f>IF(BS37='Resultats Reals'!$O$2,5,0)</f>
        <v>0</v>
      </c>
      <c r="CD37">
        <f>IFERROR(VLOOKUP(BT37,'Resultats Reals'!$R$2:$S$100,2,FALSE),0)</f>
        <v>0</v>
      </c>
      <c r="CE37">
        <f>IF(BR37='Resultats Reals'!$P$2,5,0)</f>
        <v>0</v>
      </c>
      <c r="CF37" s="7">
        <f t="shared" si="0"/>
        <v>46.5</v>
      </c>
    </row>
    <row r="38" spans="1:84" x14ac:dyDescent="0.25">
      <c r="A38" t="s">
        <v>196</v>
      </c>
      <c r="B38" t="s">
        <v>85</v>
      </c>
      <c r="C38" t="s">
        <v>86</v>
      </c>
      <c r="D38" t="s">
        <v>87</v>
      </c>
      <c r="E38" t="s">
        <v>88</v>
      </c>
      <c r="F38" t="s">
        <v>101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99</v>
      </c>
      <c r="Q38" t="s">
        <v>100</v>
      </c>
      <c r="R38" t="s">
        <v>89</v>
      </c>
      <c r="S38" t="s">
        <v>102</v>
      </c>
      <c r="T38" t="s">
        <v>103</v>
      </c>
      <c r="U38" t="s">
        <v>104</v>
      </c>
      <c r="V38" t="s">
        <v>105</v>
      </c>
      <c r="W38" t="s">
        <v>118</v>
      </c>
      <c r="X38" t="s">
        <v>119</v>
      </c>
      <c r="Y38" t="s">
        <v>108</v>
      </c>
      <c r="Z38" t="s">
        <v>109</v>
      </c>
      <c r="AA38" t="s">
        <v>110</v>
      </c>
      <c r="AB38" t="s">
        <v>111</v>
      </c>
      <c r="AC38" t="s">
        <v>112</v>
      </c>
      <c r="AD38" t="s">
        <v>113</v>
      </c>
      <c r="AE38" t="s">
        <v>114</v>
      </c>
      <c r="AF38" t="s">
        <v>115</v>
      </c>
      <c r="AG38" t="s">
        <v>116</v>
      </c>
      <c r="AH38" t="s">
        <v>117</v>
      </c>
      <c r="AI38" t="s">
        <v>106</v>
      </c>
      <c r="AJ38" t="s">
        <v>107</v>
      </c>
      <c r="AK38" t="s">
        <v>128</v>
      </c>
      <c r="AL38" t="s">
        <v>121</v>
      </c>
      <c r="AM38" t="s">
        <v>86</v>
      </c>
      <c r="AN38" t="s">
        <v>87</v>
      </c>
      <c r="AO38" t="s">
        <v>88</v>
      </c>
      <c r="AP38" t="s">
        <v>101</v>
      </c>
      <c r="AQ38" t="s">
        <v>90</v>
      </c>
      <c r="AR38" t="s">
        <v>197</v>
      </c>
      <c r="AS38" t="s">
        <v>92</v>
      </c>
      <c r="AT38" t="s">
        <v>93</v>
      </c>
      <c r="AU38" t="s">
        <v>94</v>
      </c>
      <c r="AV38" t="s">
        <v>95</v>
      </c>
      <c r="AW38" t="s">
        <v>96</v>
      </c>
      <c r="AX38" t="s">
        <v>97</v>
      </c>
      <c r="AY38" t="s">
        <v>98</v>
      </c>
      <c r="AZ38" t="s">
        <v>102</v>
      </c>
      <c r="BA38" t="s">
        <v>108</v>
      </c>
      <c r="BB38" t="s">
        <v>89</v>
      </c>
      <c r="BC38" t="s">
        <v>94</v>
      </c>
      <c r="BD38" t="s">
        <v>91</v>
      </c>
      <c r="BE38" t="s">
        <v>88</v>
      </c>
      <c r="BF38" t="s">
        <v>97</v>
      </c>
      <c r="BG38" t="s">
        <v>101</v>
      </c>
      <c r="BH38" t="s">
        <v>93</v>
      </c>
      <c r="BI38" t="s">
        <v>95</v>
      </c>
      <c r="BJ38" t="s">
        <v>96</v>
      </c>
      <c r="BK38" t="s">
        <v>94</v>
      </c>
      <c r="BL38" t="s">
        <v>88</v>
      </c>
      <c r="BM38" t="s">
        <v>93</v>
      </c>
      <c r="BN38" t="s">
        <v>96</v>
      </c>
      <c r="BO38" t="s">
        <v>93</v>
      </c>
      <c r="BP38" t="s">
        <v>94</v>
      </c>
      <c r="BQ38" t="s">
        <v>93</v>
      </c>
      <c r="BR38" s="6" t="s">
        <v>177</v>
      </c>
      <c r="BS38" t="s">
        <v>122</v>
      </c>
      <c r="BT38" t="s">
        <v>129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18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14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13.5</v>
      </c>
      <c r="BX38">
        <f>IF(COUNTIF('Resultats Reals'!$G$2:$G$17,AM38)&gt;0,1,0)+IF(COUNTIF('Resultats Reals'!$G$2:$G$17,AN38)&gt;0,1,0)+IF(COUNTIF('Resultats Reals'!$G$2:$G$17,AO38)&gt;0,1,0)+IF(COUNTIF('Resultats Reals'!$G$2:$G$17,AP38)&gt;0,1,0)+IF(COUNTIF('Resultats Reals'!$G$2:$G$17,AQ38)&gt;0,1,0)+IF(COUNTIF('Resultats Reals'!$G$2:$G$17,AR38)&gt;0,1,0)+IF(COUNTIF('Resultats Reals'!$G$2:$G$17,AS38)&gt;0,1,0)+IF(COUNTIF('Resultats Reals'!$G$2:$G$17,AT38)&gt;0,1,0)+IF(COUNTIF('Resultats Reals'!$G$2:$G$17,AU38)&gt;0,1,0)+IF(COUNTIF('Resultats Reals'!$G$2:$G$17,AV38)&gt;0,1,0)+IF(COUNTIF('Resultats Reals'!$G$2:$G$17,AW38)&gt;0,1,0)+IF(COUNTIF('Resultats Reals'!$G$2:$G$17,AX38)&gt;0,1,0)+IF(COUNTIF('Resultats Reals'!$G$2:$G$17,AY38)&gt;0,1,0)+IF(COUNTIF('Resultats Reals'!$G$2:$G$17,AZ38)&gt;0,1,0)+IF(COUNTIF('Resultats Reals'!$G$2:$G$17,BA38)&gt;0,1,0)+IF(COUNTIF('Resultats Reals'!$G$2:$G$17,BB38)&gt;0,1,0)</f>
        <v>0</v>
      </c>
      <c r="BY38">
        <f>IF(COUNTIF('Resultats Reals'!$I$2:$I$9,BC38)&gt;0,1,0)+IF(COUNTIF('Resultats Reals'!$I$2:$I$9,BD38)&gt;0,1,0)+IF(COUNTIF('Resultats Reals'!$I$2:$I$9,BE38)&gt;0,1,0)+IF(COUNTIF('Resultats Reals'!$I$2:$I$9,BF38)&gt;0,1,0)+IF(COUNTIF('Resultats Reals'!$I$2:$I$9,BG38)&gt;0,1,0)+IF(COUNTIF('Resultats Reals'!$I$2:$I$9,BH38)&gt;0,1,0)+IF(COUNTIF('Resultats Reals'!$I$2:$I$9,BI38)&gt;0,1,0)+IF(COUNTIF('Resultats Reals'!$I$2:$I$9,BJ38)&gt;0,1,0)</f>
        <v>0</v>
      </c>
      <c r="BZ38">
        <f>IF(COUNTIF('Resultats Reals'!$K$2:$K$5,BK38)&gt;0,1,0)+IF(COUNTIF('Resultats Reals'!$K$2:$K$5,BL38)&gt;0,1,0)+IF(COUNTIF('Resultats Reals'!$K$2:$K$5,BM38)&gt;0,1,0)+IF(COUNTIF('Resultats Reals'!$K$2:$K$5,BN38)&gt;0,1,0)</f>
        <v>0</v>
      </c>
      <c r="CA38">
        <f>IF(COUNTIF('Resultats Reals'!$M$2:$M$3,BO38)&gt;0,3,0)+IF(COUNTIF('Resultats Reals'!$M$2:$M$3,BP38)&gt;0,3,0)</f>
        <v>0</v>
      </c>
      <c r="CB38">
        <f>IF(BQ38='Resultats Reals'!$N$2,5,0)</f>
        <v>0</v>
      </c>
      <c r="CC38">
        <f>IF(BS38='Resultats Reals'!$O$2,5,0)</f>
        <v>0</v>
      </c>
      <c r="CD38">
        <f>IFERROR(VLOOKUP(BT38,'Resultats Reals'!$R$2:$S$100,2,FALSE),0)</f>
        <v>2</v>
      </c>
      <c r="CE38">
        <f>IF(BR38='Resultats Reals'!$P$2,5,0)</f>
        <v>0</v>
      </c>
      <c r="CF38" s="7">
        <f t="shared" si="0"/>
        <v>47.5</v>
      </c>
    </row>
    <row r="39" spans="1:84" x14ac:dyDescent="0.25">
      <c r="A39" t="s">
        <v>198</v>
      </c>
      <c r="B39" t="s">
        <v>136</v>
      </c>
      <c r="C39" t="s">
        <v>98</v>
      </c>
      <c r="D39" t="s">
        <v>87</v>
      </c>
      <c r="E39" t="s">
        <v>88</v>
      </c>
      <c r="F39" t="s">
        <v>101</v>
      </c>
      <c r="G39" t="s">
        <v>90</v>
      </c>
      <c r="H39" t="s">
        <v>103</v>
      </c>
      <c r="I39" t="s">
        <v>104</v>
      </c>
      <c r="J39" t="s">
        <v>93</v>
      </c>
      <c r="K39" t="s">
        <v>118</v>
      </c>
      <c r="L39" t="s">
        <v>95</v>
      </c>
      <c r="M39" t="s">
        <v>108</v>
      </c>
      <c r="N39" t="s">
        <v>97</v>
      </c>
      <c r="O39" t="s">
        <v>86</v>
      </c>
      <c r="P39" t="s">
        <v>111</v>
      </c>
      <c r="Q39" t="s">
        <v>100</v>
      </c>
      <c r="R39" t="s">
        <v>113</v>
      </c>
      <c r="S39" t="s">
        <v>102</v>
      </c>
      <c r="T39" t="s">
        <v>91</v>
      </c>
      <c r="U39" t="s">
        <v>92</v>
      </c>
      <c r="V39" t="s">
        <v>105</v>
      </c>
      <c r="W39" t="s">
        <v>94</v>
      </c>
      <c r="X39" t="s">
        <v>107</v>
      </c>
      <c r="Y39" t="s">
        <v>96</v>
      </c>
      <c r="Z39" t="s">
        <v>109</v>
      </c>
      <c r="AA39" t="s">
        <v>110</v>
      </c>
      <c r="AB39" t="s">
        <v>99</v>
      </c>
      <c r="AC39" t="s">
        <v>112</v>
      </c>
      <c r="AD39" t="s">
        <v>199</v>
      </c>
      <c r="AE39" t="s">
        <v>114</v>
      </c>
      <c r="AF39" t="s">
        <v>115</v>
      </c>
      <c r="AG39" t="s">
        <v>116</v>
      </c>
      <c r="AH39" t="s">
        <v>117</v>
      </c>
      <c r="AI39" t="s">
        <v>106</v>
      </c>
      <c r="AJ39" t="s">
        <v>119</v>
      </c>
      <c r="AK39" t="s">
        <v>128</v>
      </c>
      <c r="AL39" t="s">
        <v>121</v>
      </c>
      <c r="AM39" t="s">
        <v>90</v>
      </c>
      <c r="AN39" t="s">
        <v>118</v>
      </c>
      <c r="AO39" t="s">
        <v>111</v>
      </c>
      <c r="AP39" t="s">
        <v>100</v>
      </c>
      <c r="AQ39" t="s">
        <v>96</v>
      </c>
      <c r="AR39" t="s">
        <v>93</v>
      </c>
      <c r="AS39" t="s">
        <v>112</v>
      </c>
      <c r="AT39" t="s">
        <v>104</v>
      </c>
      <c r="AU39" t="s">
        <v>88</v>
      </c>
      <c r="AV39" t="s">
        <v>94</v>
      </c>
      <c r="AW39" t="s">
        <v>98</v>
      </c>
      <c r="AX39" t="s">
        <v>97</v>
      </c>
      <c r="AY39" t="s">
        <v>95</v>
      </c>
      <c r="AZ39" t="s">
        <v>92</v>
      </c>
      <c r="BA39" t="s">
        <v>115</v>
      </c>
      <c r="BB39" t="s">
        <v>108</v>
      </c>
      <c r="BC39" t="s">
        <v>118</v>
      </c>
      <c r="BD39" t="s">
        <v>100</v>
      </c>
      <c r="BE39" t="s">
        <v>93</v>
      </c>
      <c r="BF39" t="s">
        <v>104</v>
      </c>
      <c r="BG39" t="s">
        <v>94</v>
      </c>
      <c r="BH39" t="s">
        <v>97</v>
      </c>
      <c r="BI39" t="s">
        <v>95</v>
      </c>
      <c r="BJ39" t="s">
        <v>108</v>
      </c>
      <c r="BK39" t="s">
        <v>118</v>
      </c>
      <c r="BL39" t="s">
        <v>93</v>
      </c>
      <c r="BM39" t="s">
        <v>97</v>
      </c>
      <c r="BN39" t="s">
        <v>95</v>
      </c>
      <c r="BO39" t="s">
        <v>93</v>
      </c>
      <c r="BP39" t="s">
        <v>95</v>
      </c>
      <c r="BQ39" t="s">
        <v>93</v>
      </c>
      <c r="BR39" s="6" t="s">
        <v>200</v>
      </c>
      <c r="BS39" t="s">
        <v>151</v>
      </c>
      <c r="BT39" t="s">
        <v>201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15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11.5</v>
      </c>
      <c r="BX39">
        <f>IF(COUNTIF('Resultats Reals'!$G$2:$G$17,AM39)&gt;0,1,0)+IF(COUNTIF('Resultats Reals'!$G$2:$G$17,AN39)&gt;0,1,0)+IF(COUNTIF('Resultats Reals'!$G$2:$G$17,AO39)&gt;0,1,0)+IF(COUNTIF('Resultats Reals'!$G$2:$G$17,AP39)&gt;0,1,0)+IF(COUNTIF('Resultats Reals'!$G$2:$G$17,AQ39)&gt;0,1,0)+IF(COUNTIF('Resultats Reals'!$G$2:$G$17,AR39)&gt;0,1,0)+IF(COUNTIF('Resultats Reals'!$G$2:$G$17,AS39)&gt;0,1,0)+IF(COUNTIF('Resultats Reals'!$G$2:$G$17,AT39)&gt;0,1,0)+IF(COUNTIF('Resultats Reals'!$G$2:$G$17,AU39)&gt;0,1,0)+IF(COUNTIF('Resultats Reals'!$G$2:$G$17,AV39)&gt;0,1,0)+IF(COUNTIF('Resultats Reals'!$G$2:$G$17,AW39)&gt;0,1,0)+IF(COUNTIF('Resultats Reals'!$G$2:$G$17,AX39)&gt;0,1,0)+IF(COUNTIF('Resultats Reals'!$G$2:$G$17,AY39)&gt;0,1,0)+IF(COUNTIF('Resultats Reals'!$G$2:$G$17,AZ39)&gt;0,1,0)+IF(COUNTIF('Resultats Reals'!$G$2:$G$17,BA39)&gt;0,1,0)+IF(COUNTIF('Resultats Reals'!$G$2:$G$17,BB39)&gt;0,1,0)</f>
        <v>0</v>
      </c>
      <c r="BY39">
        <f>IF(COUNTIF('Resultats Reals'!$I$2:$I$9,BC39)&gt;0,1,0)+IF(COUNTIF('Resultats Reals'!$I$2:$I$9,BD39)&gt;0,1,0)+IF(COUNTIF('Resultats Reals'!$I$2:$I$9,BE39)&gt;0,1,0)+IF(COUNTIF('Resultats Reals'!$I$2:$I$9,BF39)&gt;0,1,0)+IF(COUNTIF('Resultats Reals'!$I$2:$I$9,BG39)&gt;0,1,0)+IF(COUNTIF('Resultats Reals'!$I$2:$I$9,BH39)&gt;0,1,0)+IF(COUNTIF('Resultats Reals'!$I$2:$I$9,BI39)&gt;0,1,0)+IF(COUNTIF('Resultats Reals'!$I$2:$I$9,BJ39)&gt;0,1,0)</f>
        <v>0</v>
      </c>
      <c r="BZ39">
        <f>IF(COUNTIF('Resultats Reals'!$K$2:$K$5,BK39)&gt;0,1,0)+IF(COUNTIF('Resultats Reals'!$K$2:$K$5,BL39)&gt;0,1,0)+IF(COUNTIF('Resultats Reals'!$K$2:$K$5,BM39)&gt;0,1,0)+IF(COUNTIF('Resultats Reals'!$K$2:$K$5,BN39)&gt;0,1,0)</f>
        <v>0</v>
      </c>
      <c r="CA39">
        <f>IF(COUNTIF('Resultats Reals'!$M$2:$M$3,BO39)&gt;0,3,0)+IF(COUNTIF('Resultats Reals'!$M$2:$M$3,BP39)&gt;0,3,0)</f>
        <v>0</v>
      </c>
      <c r="CB39">
        <f>IF(BQ39='Resultats Reals'!$N$2,5,0)</f>
        <v>0</v>
      </c>
      <c r="CC39">
        <f>IF(BS39='Resultats Reals'!$O$2,5,0)</f>
        <v>0</v>
      </c>
      <c r="CD39">
        <f>IFERROR(VLOOKUP(BT39,'Resultats Reals'!$R$2:$S$100,2,FALSE),0)</f>
        <v>0</v>
      </c>
      <c r="CE39">
        <f>IF(BR39='Resultats Reals'!$P$2,5,0)</f>
        <v>0</v>
      </c>
      <c r="CF39" s="7">
        <f t="shared" si="0"/>
        <v>45.5</v>
      </c>
    </row>
    <row r="40" spans="1:84" x14ac:dyDescent="0.25">
      <c r="A40" t="s">
        <v>202</v>
      </c>
      <c r="B40" t="s">
        <v>136</v>
      </c>
      <c r="C40" t="s">
        <v>86</v>
      </c>
      <c r="D40" t="s">
        <v>87</v>
      </c>
      <c r="E40" t="s">
        <v>100</v>
      </c>
      <c r="F40" t="s">
        <v>113</v>
      </c>
      <c r="G40" t="s">
        <v>90</v>
      </c>
      <c r="H40" t="s">
        <v>115</v>
      </c>
      <c r="I40" t="s">
        <v>92</v>
      </c>
      <c r="J40" t="s">
        <v>93</v>
      </c>
      <c r="K40" t="s">
        <v>94</v>
      </c>
      <c r="L40" t="s">
        <v>95</v>
      </c>
      <c r="M40" t="s">
        <v>108</v>
      </c>
      <c r="N40" t="s">
        <v>109</v>
      </c>
      <c r="O40" t="s">
        <v>98</v>
      </c>
      <c r="P40" t="s">
        <v>99</v>
      </c>
      <c r="Q40" t="s">
        <v>88</v>
      </c>
      <c r="R40" t="s">
        <v>101</v>
      </c>
      <c r="S40" t="s">
        <v>102</v>
      </c>
      <c r="T40" t="s">
        <v>103</v>
      </c>
      <c r="U40" t="s">
        <v>104</v>
      </c>
      <c r="V40" t="s">
        <v>105</v>
      </c>
      <c r="W40" t="s">
        <v>106</v>
      </c>
      <c r="X40" t="s">
        <v>107</v>
      </c>
      <c r="Y40" t="s">
        <v>96</v>
      </c>
      <c r="Z40" t="s">
        <v>97</v>
      </c>
      <c r="AA40" t="s">
        <v>110</v>
      </c>
      <c r="AB40" t="s">
        <v>111</v>
      </c>
      <c r="AC40" t="s">
        <v>112</v>
      </c>
      <c r="AD40" t="s">
        <v>89</v>
      </c>
      <c r="AE40" t="s">
        <v>114</v>
      </c>
      <c r="AF40" t="s">
        <v>91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90</v>
      </c>
      <c r="AN40" t="s">
        <v>94</v>
      </c>
      <c r="AO40" t="s">
        <v>99</v>
      </c>
      <c r="AP40" t="s">
        <v>88</v>
      </c>
      <c r="AQ40" t="s">
        <v>96</v>
      </c>
      <c r="AR40" t="s">
        <v>93</v>
      </c>
      <c r="AS40" t="s">
        <v>91</v>
      </c>
      <c r="AT40" t="s">
        <v>92</v>
      </c>
      <c r="AU40" t="s">
        <v>100</v>
      </c>
      <c r="AV40" t="s">
        <v>102</v>
      </c>
      <c r="AW40" t="s">
        <v>86</v>
      </c>
      <c r="AX40" t="s">
        <v>109</v>
      </c>
      <c r="AY40" t="s">
        <v>95</v>
      </c>
      <c r="AZ40" t="s">
        <v>101</v>
      </c>
      <c r="BA40" t="s">
        <v>87</v>
      </c>
      <c r="BB40" t="s">
        <v>108</v>
      </c>
      <c r="BC40" t="s">
        <v>94</v>
      </c>
      <c r="BD40" t="s">
        <v>88</v>
      </c>
      <c r="BE40" t="s">
        <v>93</v>
      </c>
      <c r="BF40" t="s">
        <v>92</v>
      </c>
      <c r="BG40" t="s">
        <v>100</v>
      </c>
      <c r="BH40" t="s">
        <v>86</v>
      </c>
      <c r="BI40" t="s">
        <v>95</v>
      </c>
      <c r="BJ40" t="s">
        <v>108</v>
      </c>
      <c r="BK40" t="s">
        <v>94</v>
      </c>
      <c r="BL40" t="s">
        <v>93</v>
      </c>
      <c r="BM40" t="s">
        <v>100</v>
      </c>
      <c r="BN40" t="s">
        <v>95</v>
      </c>
      <c r="BO40" t="s">
        <v>93</v>
      </c>
      <c r="BP40" t="s">
        <v>100</v>
      </c>
      <c r="BQ40" t="s">
        <v>93</v>
      </c>
      <c r="BR40" s="6" t="s">
        <v>177</v>
      </c>
      <c r="BS40" t="s">
        <v>122</v>
      </c>
      <c r="BT40" t="s">
        <v>129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17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12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12</v>
      </c>
      <c r="BX40">
        <f>IF(COUNTIF('Resultats Reals'!$G$2:$G$17,AM40)&gt;0,1,0)+IF(COUNTIF('Resultats Reals'!$G$2:$G$17,AN40)&gt;0,1,0)+IF(COUNTIF('Resultats Reals'!$G$2:$G$17,AO40)&gt;0,1,0)+IF(COUNTIF('Resultats Reals'!$G$2:$G$17,AP40)&gt;0,1,0)+IF(COUNTIF('Resultats Reals'!$G$2:$G$17,AQ40)&gt;0,1,0)+IF(COUNTIF('Resultats Reals'!$G$2:$G$17,AR40)&gt;0,1,0)+IF(COUNTIF('Resultats Reals'!$G$2:$G$17,AS40)&gt;0,1,0)+IF(COUNTIF('Resultats Reals'!$G$2:$G$17,AT40)&gt;0,1,0)+IF(COUNTIF('Resultats Reals'!$G$2:$G$17,AU40)&gt;0,1,0)+IF(COUNTIF('Resultats Reals'!$G$2:$G$17,AV40)&gt;0,1,0)+IF(COUNTIF('Resultats Reals'!$G$2:$G$17,AW40)&gt;0,1,0)+IF(COUNTIF('Resultats Reals'!$G$2:$G$17,AX40)&gt;0,1,0)+IF(COUNTIF('Resultats Reals'!$G$2:$G$17,AY40)&gt;0,1,0)+IF(COUNTIF('Resultats Reals'!$G$2:$G$17,AZ40)&gt;0,1,0)+IF(COUNTIF('Resultats Reals'!$G$2:$G$17,BA40)&gt;0,1,0)+IF(COUNTIF('Resultats Reals'!$G$2:$G$17,BB40)&gt;0,1,0)</f>
        <v>0</v>
      </c>
      <c r="BY40">
        <f>IF(COUNTIF('Resultats Reals'!$I$2:$I$9,BC40)&gt;0,1,0)+IF(COUNTIF('Resultats Reals'!$I$2:$I$9,BD40)&gt;0,1,0)+IF(COUNTIF('Resultats Reals'!$I$2:$I$9,BE40)&gt;0,1,0)+IF(COUNTIF('Resultats Reals'!$I$2:$I$9,BF40)&gt;0,1,0)+IF(COUNTIF('Resultats Reals'!$I$2:$I$9,BG40)&gt;0,1,0)+IF(COUNTIF('Resultats Reals'!$I$2:$I$9,BH40)&gt;0,1,0)+IF(COUNTIF('Resultats Reals'!$I$2:$I$9,BI40)&gt;0,1,0)+IF(COUNTIF('Resultats Reals'!$I$2:$I$9,BJ40)&gt;0,1,0)</f>
        <v>0</v>
      </c>
      <c r="BZ40">
        <f>IF(COUNTIF('Resultats Reals'!$K$2:$K$5,BK40)&gt;0,1,0)+IF(COUNTIF('Resultats Reals'!$K$2:$K$5,BL40)&gt;0,1,0)+IF(COUNTIF('Resultats Reals'!$K$2:$K$5,BM40)&gt;0,1,0)+IF(COUNTIF('Resultats Reals'!$K$2:$K$5,BN40)&gt;0,1,0)</f>
        <v>0</v>
      </c>
      <c r="CA40">
        <f>IF(COUNTIF('Resultats Reals'!$M$2:$M$3,BO40)&gt;0,3,0)+IF(COUNTIF('Resultats Reals'!$M$2:$M$3,BP40)&gt;0,3,0)</f>
        <v>0</v>
      </c>
      <c r="CB40">
        <f>IF(BQ40='Resultats Reals'!$N$2,5,0)</f>
        <v>0</v>
      </c>
      <c r="CC40">
        <f>IF(BS40='Resultats Reals'!$O$2,5,0)</f>
        <v>0</v>
      </c>
      <c r="CD40">
        <f>IFERROR(VLOOKUP(BT40,'Resultats Reals'!$R$2:$S$100,2,FALSE),0)</f>
        <v>2</v>
      </c>
      <c r="CE40">
        <f>IF(BR40='Resultats Reals'!$P$2,5,0)</f>
        <v>0</v>
      </c>
      <c r="CF40" s="7">
        <f t="shared" si="0"/>
        <v>43</v>
      </c>
    </row>
    <row r="41" spans="1:84" x14ac:dyDescent="0.25">
      <c r="A41" t="s">
        <v>203</v>
      </c>
      <c r="B41" t="s">
        <v>136</v>
      </c>
      <c r="C41" t="s">
        <v>86</v>
      </c>
      <c r="D41" t="s">
        <v>87</v>
      </c>
      <c r="E41" t="s">
        <v>88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98</v>
      </c>
      <c r="P41" t="s">
        <v>111</v>
      </c>
      <c r="Q41" t="s">
        <v>100</v>
      </c>
      <c r="R41" t="s">
        <v>113</v>
      </c>
      <c r="S41" t="s">
        <v>102</v>
      </c>
      <c r="T41" t="s">
        <v>115</v>
      </c>
      <c r="U41" t="s">
        <v>104</v>
      </c>
      <c r="V41" t="s">
        <v>105</v>
      </c>
      <c r="W41" t="s">
        <v>118</v>
      </c>
      <c r="X41" t="s">
        <v>107</v>
      </c>
      <c r="Y41" t="s">
        <v>108</v>
      </c>
      <c r="Z41" t="s">
        <v>109</v>
      </c>
      <c r="AA41" t="s">
        <v>204</v>
      </c>
      <c r="AB41" t="s">
        <v>126</v>
      </c>
      <c r="AC41" t="s">
        <v>112</v>
      </c>
      <c r="AD41" t="s">
        <v>101</v>
      </c>
      <c r="AE41" t="s">
        <v>114</v>
      </c>
      <c r="AF41" t="s">
        <v>103</v>
      </c>
      <c r="AG41" t="s">
        <v>116</v>
      </c>
      <c r="AH41" t="s">
        <v>117</v>
      </c>
      <c r="AI41" t="s">
        <v>106</v>
      </c>
      <c r="AJ41" t="s">
        <v>119</v>
      </c>
      <c r="AK41" t="s">
        <v>120</v>
      </c>
      <c r="AL41" t="s">
        <v>121</v>
      </c>
      <c r="AM41" t="s">
        <v>90</v>
      </c>
      <c r="AN41" t="s">
        <v>94</v>
      </c>
      <c r="AO41" t="s">
        <v>98</v>
      </c>
      <c r="AP41" t="s">
        <v>100</v>
      </c>
      <c r="AQ41" t="s">
        <v>88</v>
      </c>
      <c r="AR41" t="s">
        <v>118</v>
      </c>
      <c r="AS41" t="s">
        <v>86</v>
      </c>
      <c r="AT41" t="s">
        <v>97</v>
      </c>
      <c r="AU41" t="s">
        <v>95</v>
      </c>
      <c r="AV41" t="s">
        <v>113</v>
      </c>
      <c r="AW41" t="s">
        <v>87</v>
      </c>
      <c r="AX41" t="s">
        <v>96</v>
      </c>
      <c r="AY41" t="s">
        <v>92</v>
      </c>
      <c r="AZ41" t="s">
        <v>89</v>
      </c>
      <c r="BA41" t="s">
        <v>93</v>
      </c>
      <c r="BB41" t="s">
        <v>108</v>
      </c>
      <c r="BC41" t="s">
        <v>92</v>
      </c>
      <c r="BD41" t="s">
        <v>93</v>
      </c>
      <c r="BE41" t="s">
        <v>95</v>
      </c>
      <c r="BF41" t="s">
        <v>96</v>
      </c>
      <c r="BG41" t="s">
        <v>88</v>
      </c>
      <c r="BH41" t="s">
        <v>90</v>
      </c>
      <c r="BI41" t="s">
        <v>100</v>
      </c>
      <c r="BJ41" t="s">
        <v>97</v>
      </c>
      <c r="BK41" t="s">
        <v>90</v>
      </c>
      <c r="BL41" t="s">
        <v>93</v>
      </c>
      <c r="BM41" t="s">
        <v>97</v>
      </c>
      <c r="BN41" t="s">
        <v>95</v>
      </c>
      <c r="BO41" t="s">
        <v>95</v>
      </c>
      <c r="BP41" t="s">
        <v>90</v>
      </c>
      <c r="BQ41" t="s">
        <v>95</v>
      </c>
      <c r="BS41" t="s">
        <v>158</v>
      </c>
      <c r="BT41" t="s">
        <v>146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20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16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8.5</v>
      </c>
      <c r="BX41">
        <f>IF(COUNTIF('Resultats Reals'!$G$2:$G$17,AM41)&gt;0,1,0)+IF(COUNTIF('Resultats Reals'!$G$2:$G$17,AN41)&gt;0,1,0)+IF(COUNTIF('Resultats Reals'!$G$2:$G$17,AO41)&gt;0,1,0)+IF(COUNTIF('Resultats Reals'!$G$2:$G$17,AP41)&gt;0,1,0)+IF(COUNTIF('Resultats Reals'!$G$2:$G$17,AQ41)&gt;0,1,0)+IF(COUNTIF('Resultats Reals'!$G$2:$G$17,AR41)&gt;0,1,0)+IF(COUNTIF('Resultats Reals'!$G$2:$G$17,AS41)&gt;0,1,0)+IF(COUNTIF('Resultats Reals'!$G$2:$G$17,AT41)&gt;0,1,0)+IF(COUNTIF('Resultats Reals'!$G$2:$G$17,AU41)&gt;0,1,0)+IF(COUNTIF('Resultats Reals'!$G$2:$G$17,AV41)&gt;0,1,0)+IF(COUNTIF('Resultats Reals'!$G$2:$G$17,AW41)&gt;0,1,0)+IF(COUNTIF('Resultats Reals'!$G$2:$G$17,AX41)&gt;0,1,0)+IF(COUNTIF('Resultats Reals'!$G$2:$G$17,AY41)&gt;0,1,0)+IF(COUNTIF('Resultats Reals'!$G$2:$G$17,AZ41)&gt;0,1,0)+IF(COUNTIF('Resultats Reals'!$G$2:$G$17,BA41)&gt;0,1,0)+IF(COUNTIF('Resultats Reals'!$G$2:$G$17,BB41)&gt;0,1,0)</f>
        <v>0</v>
      </c>
      <c r="BY41">
        <f>IF(COUNTIF('Resultats Reals'!$I$2:$I$9,BC41)&gt;0,1,0)+IF(COUNTIF('Resultats Reals'!$I$2:$I$9,BD41)&gt;0,1,0)+IF(COUNTIF('Resultats Reals'!$I$2:$I$9,BE41)&gt;0,1,0)+IF(COUNTIF('Resultats Reals'!$I$2:$I$9,BF41)&gt;0,1,0)+IF(COUNTIF('Resultats Reals'!$I$2:$I$9,BG41)&gt;0,1,0)+IF(COUNTIF('Resultats Reals'!$I$2:$I$9,BH41)&gt;0,1,0)+IF(COUNTIF('Resultats Reals'!$I$2:$I$9,BI41)&gt;0,1,0)+IF(COUNTIF('Resultats Reals'!$I$2:$I$9,BJ41)&gt;0,1,0)</f>
        <v>0</v>
      </c>
      <c r="BZ41">
        <f>IF(COUNTIF('Resultats Reals'!$K$2:$K$5,BK41)&gt;0,1,0)+IF(COUNTIF('Resultats Reals'!$K$2:$K$5,BL41)&gt;0,1,0)+IF(COUNTIF('Resultats Reals'!$K$2:$K$5,BM41)&gt;0,1,0)+IF(COUNTIF('Resultats Reals'!$K$2:$K$5,BN41)&gt;0,1,0)</f>
        <v>0</v>
      </c>
      <c r="CA41">
        <f>IF(COUNTIF('Resultats Reals'!$M$2:$M$3,BO41)&gt;0,3,0)+IF(COUNTIF('Resultats Reals'!$M$2:$M$3,BP41)&gt;0,3,0)</f>
        <v>0</v>
      </c>
      <c r="CB41">
        <f>IF(BQ41='Resultats Reals'!$N$2,5,0)</f>
        <v>0</v>
      </c>
      <c r="CC41">
        <f>IF(BS41='Resultats Reals'!$O$2,5,0)</f>
        <v>0</v>
      </c>
      <c r="CD41">
        <f>IFERROR(VLOOKUP(BT41,'Resultats Reals'!$R$2:$S$100,2,FALSE),0)</f>
        <v>0</v>
      </c>
      <c r="CE41">
        <f>IF(BR41='Resultats Reals'!$P$2,5,0)</f>
        <v>0</v>
      </c>
      <c r="CF41" s="7">
        <f t="shared" si="0"/>
        <v>44.5</v>
      </c>
    </row>
    <row r="42" spans="1:84" x14ac:dyDescent="0.25">
      <c r="A42" t="s">
        <v>205</v>
      </c>
      <c r="B42" t="s">
        <v>85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87</v>
      </c>
      <c r="Q42" t="s">
        <v>100</v>
      </c>
      <c r="R42" t="s">
        <v>101</v>
      </c>
      <c r="S42" t="s">
        <v>114</v>
      </c>
      <c r="T42" t="s">
        <v>115</v>
      </c>
      <c r="U42" t="s">
        <v>116</v>
      </c>
      <c r="V42" t="s">
        <v>105</v>
      </c>
      <c r="W42" t="s">
        <v>106</v>
      </c>
      <c r="X42" t="s">
        <v>107</v>
      </c>
      <c r="Y42" t="s">
        <v>108</v>
      </c>
      <c r="Z42" t="s">
        <v>109</v>
      </c>
      <c r="AA42" t="s">
        <v>131</v>
      </c>
      <c r="AB42" t="s">
        <v>126</v>
      </c>
      <c r="AC42" t="s">
        <v>112</v>
      </c>
      <c r="AD42" t="s">
        <v>127</v>
      </c>
      <c r="AE42" t="s">
        <v>102</v>
      </c>
      <c r="AF42" t="s">
        <v>103</v>
      </c>
      <c r="AG42" t="s">
        <v>104</v>
      </c>
      <c r="AH42" t="s">
        <v>117</v>
      </c>
      <c r="AI42" t="s">
        <v>118</v>
      </c>
      <c r="AJ42" t="s">
        <v>119</v>
      </c>
      <c r="AK42" t="s">
        <v>128</v>
      </c>
      <c r="AL42" t="s">
        <v>121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98</v>
      </c>
      <c r="AZ42" t="s">
        <v>87</v>
      </c>
      <c r="BA42" t="s">
        <v>105</v>
      </c>
      <c r="BB42" t="s">
        <v>109</v>
      </c>
      <c r="BC42" t="s">
        <v>93</v>
      </c>
      <c r="BD42" t="s">
        <v>94</v>
      </c>
      <c r="BE42" t="s">
        <v>95</v>
      </c>
      <c r="BF42" t="s">
        <v>88</v>
      </c>
      <c r="BG42" t="s">
        <v>97</v>
      </c>
      <c r="BH42" t="s">
        <v>96</v>
      </c>
      <c r="BI42" t="s">
        <v>90</v>
      </c>
      <c r="BJ42" t="s">
        <v>91</v>
      </c>
      <c r="BK42" t="s">
        <v>93</v>
      </c>
      <c r="BL42" t="s">
        <v>94</v>
      </c>
      <c r="BM42" t="s">
        <v>95</v>
      </c>
      <c r="BN42" t="s">
        <v>88</v>
      </c>
      <c r="BO42" t="s">
        <v>93</v>
      </c>
      <c r="BP42" t="s">
        <v>95</v>
      </c>
      <c r="BQ42" t="s">
        <v>93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21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19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10.5</v>
      </c>
      <c r="BX42">
        <f>IF(COUNTIF('Resultats Reals'!$G$2:$G$17,AM42)&gt;0,1,0)+IF(COUNTIF('Resultats Reals'!$G$2:$G$17,AN42)&gt;0,1,0)+IF(COUNTIF('Resultats Reals'!$G$2:$G$17,AO42)&gt;0,1,0)+IF(COUNTIF('Resultats Reals'!$G$2:$G$17,AP42)&gt;0,1,0)+IF(COUNTIF('Resultats Reals'!$G$2:$G$17,AQ42)&gt;0,1,0)+IF(COUNTIF('Resultats Reals'!$G$2:$G$17,AR42)&gt;0,1,0)+IF(COUNTIF('Resultats Reals'!$G$2:$G$17,AS42)&gt;0,1,0)+IF(COUNTIF('Resultats Reals'!$G$2:$G$17,AT42)&gt;0,1,0)+IF(COUNTIF('Resultats Reals'!$G$2:$G$17,AU42)&gt;0,1,0)+IF(COUNTIF('Resultats Reals'!$G$2:$G$17,AV42)&gt;0,1,0)+IF(COUNTIF('Resultats Reals'!$G$2:$G$17,AW42)&gt;0,1,0)+IF(COUNTIF('Resultats Reals'!$G$2:$G$17,AX42)&gt;0,1,0)+IF(COUNTIF('Resultats Reals'!$G$2:$G$17,AY42)&gt;0,1,0)+IF(COUNTIF('Resultats Reals'!$G$2:$G$17,AZ42)&gt;0,1,0)+IF(COUNTIF('Resultats Reals'!$G$2:$G$17,BA42)&gt;0,1,0)+IF(COUNTIF('Resultats Reals'!$G$2:$G$17,BB42)&gt;0,1,0)</f>
        <v>0</v>
      </c>
      <c r="BY42">
        <f>IF(COUNTIF('Resultats Reals'!$I$2:$I$9,BC42)&gt;0,1,0)+IF(COUNTIF('Resultats Reals'!$I$2:$I$9,BD42)&gt;0,1,0)+IF(COUNTIF('Resultats Reals'!$I$2:$I$9,BE42)&gt;0,1,0)+IF(COUNTIF('Resultats Reals'!$I$2:$I$9,BF42)&gt;0,1,0)+IF(COUNTIF('Resultats Reals'!$I$2:$I$9,BG42)&gt;0,1,0)+IF(COUNTIF('Resultats Reals'!$I$2:$I$9,BH42)&gt;0,1,0)+IF(COUNTIF('Resultats Reals'!$I$2:$I$9,BI42)&gt;0,1,0)+IF(COUNTIF('Resultats Reals'!$I$2:$I$9,BJ42)&gt;0,1,0)</f>
        <v>0</v>
      </c>
      <c r="BZ42">
        <f>IF(COUNTIF('Resultats Reals'!$K$2:$K$5,BK42)&gt;0,1,0)+IF(COUNTIF('Resultats Reals'!$K$2:$K$5,BL42)&gt;0,1,0)+IF(COUNTIF('Resultats Reals'!$K$2:$K$5,BM42)&gt;0,1,0)+IF(COUNTIF('Resultats Reals'!$K$2:$K$5,BN42)&gt;0,1,0)</f>
        <v>0</v>
      </c>
      <c r="CA42">
        <f>IF(COUNTIF('Resultats Reals'!$M$2:$M$3,BO42)&gt;0,3,0)+IF(COUNTIF('Resultats Reals'!$M$2:$M$3,BP42)&gt;0,3,0)</f>
        <v>0</v>
      </c>
      <c r="CB42">
        <f>IF(BQ42='Resultats Reals'!$N$2,5,0)</f>
        <v>0</v>
      </c>
      <c r="CC42">
        <f>IF(BS42='Resultats Reals'!$O$2,5,0)</f>
        <v>0</v>
      </c>
      <c r="CD42">
        <f>IFERROR(VLOOKUP(BT42,'Resultats Reals'!$R$2:$S$100,2,FALSE),0)</f>
        <v>2</v>
      </c>
      <c r="CE42">
        <f>IF(BR42='Resultats Reals'!$P$2,5,0)</f>
        <v>0</v>
      </c>
      <c r="CF42" s="7">
        <f t="shared" si="0"/>
        <v>52.5</v>
      </c>
    </row>
    <row r="43" spans="1:84" x14ac:dyDescent="0.25">
      <c r="A43" t="s">
        <v>206</v>
      </c>
      <c r="B43" t="s">
        <v>136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207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110</v>
      </c>
      <c r="AB43" t="s">
        <v>111</v>
      </c>
      <c r="AC43" t="s">
        <v>112</v>
      </c>
      <c r="AD43" t="s">
        <v>127</v>
      </c>
      <c r="AE43" t="s">
        <v>102</v>
      </c>
      <c r="AF43" t="s">
        <v>103</v>
      </c>
      <c r="AG43" t="s">
        <v>116</v>
      </c>
      <c r="AH43" t="s">
        <v>117</v>
      </c>
      <c r="AI43" t="s">
        <v>118</v>
      </c>
      <c r="AJ43" t="s">
        <v>119</v>
      </c>
      <c r="AK43" t="s">
        <v>128</v>
      </c>
      <c r="AL43" t="s">
        <v>121</v>
      </c>
      <c r="AM43" t="s">
        <v>90</v>
      </c>
      <c r="AN43" t="s">
        <v>94</v>
      </c>
      <c r="AO43" t="s">
        <v>98</v>
      </c>
      <c r="AP43" t="s">
        <v>100</v>
      </c>
      <c r="AQ43" t="s">
        <v>109</v>
      </c>
      <c r="AR43" t="s">
        <v>93</v>
      </c>
      <c r="AS43" t="s">
        <v>101</v>
      </c>
      <c r="AT43" t="s">
        <v>92</v>
      </c>
      <c r="AU43" t="s">
        <v>88</v>
      </c>
      <c r="AV43" t="s">
        <v>106</v>
      </c>
      <c r="AW43" t="s">
        <v>86</v>
      </c>
      <c r="AX43" t="s">
        <v>97</v>
      </c>
      <c r="AY43" t="s">
        <v>95</v>
      </c>
      <c r="AZ43" t="s">
        <v>89</v>
      </c>
      <c r="BA43" t="s">
        <v>87</v>
      </c>
      <c r="BB43" t="s">
        <v>96</v>
      </c>
      <c r="BC43" t="s">
        <v>94</v>
      </c>
      <c r="BD43" t="s">
        <v>100</v>
      </c>
      <c r="BE43" t="s">
        <v>93</v>
      </c>
      <c r="BF43" t="s">
        <v>92</v>
      </c>
      <c r="BG43" t="s">
        <v>88</v>
      </c>
      <c r="BH43" t="s">
        <v>97</v>
      </c>
      <c r="BI43" t="s">
        <v>95</v>
      </c>
      <c r="BJ43" t="s">
        <v>96</v>
      </c>
      <c r="BK43" t="s">
        <v>94</v>
      </c>
      <c r="BL43" t="s">
        <v>93</v>
      </c>
      <c r="BM43" t="s">
        <v>95</v>
      </c>
      <c r="BN43" t="s">
        <v>97</v>
      </c>
      <c r="BO43" t="s">
        <v>93</v>
      </c>
      <c r="BP43" t="s">
        <v>97</v>
      </c>
      <c r="BQ43" t="s">
        <v>93</v>
      </c>
      <c r="BR43" s="6" t="s">
        <v>188</v>
      </c>
      <c r="BS43" t="s">
        <v>122</v>
      </c>
      <c r="BT43" t="s">
        <v>155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18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16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12.5</v>
      </c>
      <c r="BX43">
        <f>IF(COUNTIF('Resultats Reals'!$G$2:$G$17,AM43)&gt;0,1,0)+IF(COUNTIF('Resultats Reals'!$G$2:$G$17,AN43)&gt;0,1,0)+IF(COUNTIF('Resultats Reals'!$G$2:$G$17,AO43)&gt;0,1,0)+IF(COUNTIF('Resultats Reals'!$G$2:$G$17,AP43)&gt;0,1,0)+IF(COUNTIF('Resultats Reals'!$G$2:$G$17,AQ43)&gt;0,1,0)+IF(COUNTIF('Resultats Reals'!$G$2:$G$17,AR43)&gt;0,1,0)+IF(COUNTIF('Resultats Reals'!$G$2:$G$17,AS43)&gt;0,1,0)+IF(COUNTIF('Resultats Reals'!$G$2:$G$17,AT43)&gt;0,1,0)+IF(COUNTIF('Resultats Reals'!$G$2:$G$17,AU43)&gt;0,1,0)+IF(COUNTIF('Resultats Reals'!$G$2:$G$17,AV43)&gt;0,1,0)+IF(COUNTIF('Resultats Reals'!$G$2:$G$17,AW43)&gt;0,1,0)+IF(COUNTIF('Resultats Reals'!$G$2:$G$17,AX43)&gt;0,1,0)+IF(COUNTIF('Resultats Reals'!$G$2:$G$17,AY43)&gt;0,1,0)+IF(COUNTIF('Resultats Reals'!$G$2:$G$17,AZ43)&gt;0,1,0)+IF(COUNTIF('Resultats Reals'!$G$2:$G$17,BA43)&gt;0,1,0)+IF(COUNTIF('Resultats Reals'!$G$2:$G$17,BB43)&gt;0,1,0)</f>
        <v>0</v>
      </c>
      <c r="BY43">
        <f>IF(COUNTIF('Resultats Reals'!$I$2:$I$9,BC43)&gt;0,1,0)+IF(COUNTIF('Resultats Reals'!$I$2:$I$9,BD43)&gt;0,1,0)+IF(COUNTIF('Resultats Reals'!$I$2:$I$9,BE43)&gt;0,1,0)+IF(COUNTIF('Resultats Reals'!$I$2:$I$9,BF43)&gt;0,1,0)+IF(COUNTIF('Resultats Reals'!$I$2:$I$9,BG43)&gt;0,1,0)+IF(COUNTIF('Resultats Reals'!$I$2:$I$9,BH43)&gt;0,1,0)+IF(COUNTIF('Resultats Reals'!$I$2:$I$9,BI43)&gt;0,1,0)+IF(COUNTIF('Resultats Reals'!$I$2:$I$9,BJ43)&gt;0,1,0)</f>
        <v>0</v>
      </c>
      <c r="BZ43">
        <f>IF(COUNTIF('Resultats Reals'!$K$2:$K$5,BK43)&gt;0,1,0)+IF(COUNTIF('Resultats Reals'!$K$2:$K$5,BL43)&gt;0,1,0)+IF(COUNTIF('Resultats Reals'!$K$2:$K$5,BM43)&gt;0,1,0)+IF(COUNTIF('Resultats Reals'!$K$2:$K$5,BN43)&gt;0,1,0)</f>
        <v>0</v>
      </c>
      <c r="CA43">
        <f>IF(COUNTIF('Resultats Reals'!$M$2:$M$3,BO43)&gt;0,3,0)+IF(COUNTIF('Resultats Reals'!$M$2:$M$3,BP43)&gt;0,3,0)</f>
        <v>0</v>
      </c>
      <c r="CB43">
        <f>IF(BQ43='Resultats Reals'!$N$2,5,0)</f>
        <v>0</v>
      </c>
      <c r="CC43">
        <f>IF(BS43='Resultats Reals'!$O$2,5,0)</f>
        <v>0</v>
      </c>
      <c r="CD43">
        <f>IFERROR(VLOOKUP(BT43,'Resultats Reals'!$R$2:$S$100,2,FALSE),0)</f>
        <v>2</v>
      </c>
      <c r="CE43">
        <f>IF(BR43='Resultats Reals'!$P$2,5,0)</f>
        <v>0</v>
      </c>
      <c r="CF43" s="7">
        <f t="shared" si="0"/>
        <v>48.5</v>
      </c>
    </row>
    <row r="44" spans="1:84" x14ac:dyDescent="0.25">
      <c r="A44" t="s">
        <v>208</v>
      </c>
      <c r="B44" t="s">
        <v>164</v>
      </c>
      <c r="C44" t="s">
        <v>86</v>
      </c>
      <c r="D44" t="s">
        <v>87</v>
      </c>
      <c r="E44" t="s">
        <v>88</v>
      </c>
      <c r="F44" t="s">
        <v>101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108</v>
      </c>
      <c r="N44" t="s">
        <v>97</v>
      </c>
      <c r="O44" t="s">
        <v>98</v>
      </c>
      <c r="P44" t="s">
        <v>99</v>
      </c>
      <c r="Q44" t="s">
        <v>100</v>
      </c>
      <c r="R44" t="s">
        <v>89</v>
      </c>
      <c r="S44" t="s">
        <v>114</v>
      </c>
      <c r="T44" t="s">
        <v>103</v>
      </c>
      <c r="U44" t="s">
        <v>104</v>
      </c>
      <c r="V44" t="s">
        <v>105</v>
      </c>
      <c r="W44" t="s">
        <v>106</v>
      </c>
      <c r="X44" t="s">
        <v>107</v>
      </c>
      <c r="Y44" t="s">
        <v>96</v>
      </c>
      <c r="Z44" t="s">
        <v>109</v>
      </c>
      <c r="AA44" t="s">
        <v>110</v>
      </c>
      <c r="AB44" t="s">
        <v>126</v>
      </c>
      <c r="AC44" t="s">
        <v>112</v>
      </c>
      <c r="AD44" t="s">
        <v>113</v>
      </c>
      <c r="AE44" t="s">
        <v>102</v>
      </c>
      <c r="AF44" t="s">
        <v>115</v>
      </c>
      <c r="AG44" t="s">
        <v>116</v>
      </c>
      <c r="AH44" t="s">
        <v>143</v>
      </c>
      <c r="AI44" t="s">
        <v>118</v>
      </c>
      <c r="AJ44" t="s">
        <v>144</v>
      </c>
      <c r="AK44" t="s">
        <v>128</v>
      </c>
      <c r="AL44" t="s">
        <v>145</v>
      </c>
      <c r="AM44" t="s">
        <v>94</v>
      </c>
      <c r="AN44" t="s">
        <v>93</v>
      </c>
      <c r="AO44" t="s">
        <v>97</v>
      </c>
      <c r="AP44" t="s">
        <v>96</v>
      </c>
      <c r="AQ44" t="s">
        <v>90</v>
      </c>
      <c r="AR44" t="s">
        <v>88</v>
      </c>
      <c r="AS44" t="s">
        <v>95</v>
      </c>
      <c r="AT44" t="s">
        <v>92</v>
      </c>
      <c r="AU44" t="s">
        <v>108</v>
      </c>
      <c r="AV44" t="s">
        <v>91</v>
      </c>
      <c r="AW44" t="s">
        <v>87</v>
      </c>
      <c r="AX44" t="s">
        <v>100</v>
      </c>
      <c r="AY44" t="s">
        <v>108</v>
      </c>
      <c r="AZ44" t="s">
        <v>99</v>
      </c>
      <c r="BA44" t="s">
        <v>118</v>
      </c>
      <c r="BB44" t="s">
        <v>101</v>
      </c>
      <c r="BC44" t="s">
        <v>93</v>
      </c>
      <c r="BD44" t="s">
        <v>94</v>
      </c>
      <c r="BE44" t="s">
        <v>95</v>
      </c>
      <c r="BF44" t="s">
        <v>97</v>
      </c>
      <c r="BG44" t="s">
        <v>88</v>
      </c>
      <c r="BH44" t="s">
        <v>96</v>
      </c>
      <c r="BI44" t="s">
        <v>100</v>
      </c>
      <c r="BJ44" t="s">
        <v>91</v>
      </c>
      <c r="BK44" t="s">
        <v>95</v>
      </c>
      <c r="BL44" t="s">
        <v>91</v>
      </c>
      <c r="BM44" t="s">
        <v>93</v>
      </c>
      <c r="BN44" t="s">
        <v>88</v>
      </c>
      <c r="BO44" t="s">
        <v>95</v>
      </c>
      <c r="BP44" t="s">
        <v>91</v>
      </c>
      <c r="BQ44" t="s">
        <v>95</v>
      </c>
      <c r="BS44" t="s">
        <v>122</v>
      </c>
      <c r="BT44" t="s">
        <v>129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19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17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13</v>
      </c>
      <c r="BX44">
        <f>IF(COUNTIF('Resultats Reals'!$G$2:$G$17,AM44)&gt;0,1,0)+IF(COUNTIF('Resultats Reals'!$G$2:$G$17,AN44)&gt;0,1,0)+IF(COUNTIF('Resultats Reals'!$G$2:$G$17,AO44)&gt;0,1,0)+IF(COUNTIF('Resultats Reals'!$G$2:$G$17,AP44)&gt;0,1,0)+IF(COUNTIF('Resultats Reals'!$G$2:$G$17,AQ44)&gt;0,1,0)+IF(COUNTIF('Resultats Reals'!$G$2:$G$17,AR44)&gt;0,1,0)+IF(COUNTIF('Resultats Reals'!$G$2:$G$17,AS44)&gt;0,1,0)+IF(COUNTIF('Resultats Reals'!$G$2:$G$17,AT44)&gt;0,1,0)+IF(COUNTIF('Resultats Reals'!$G$2:$G$17,AU44)&gt;0,1,0)+IF(COUNTIF('Resultats Reals'!$G$2:$G$17,AV44)&gt;0,1,0)+IF(COUNTIF('Resultats Reals'!$G$2:$G$17,AW44)&gt;0,1,0)+IF(COUNTIF('Resultats Reals'!$G$2:$G$17,AX44)&gt;0,1,0)+IF(COUNTIF('Resultats Reals'!$G$2:$G$17,AY44)&gt;0,1,0)+IF(COUNTIF('Resultats Reals'!$G$2:$G$17,AZ44)&gt;0,1,0)+IF(COUNTIF('Resultats Reals'!$G$2:$G$17,BA44)&gt;0,1,0)+IF(COUNTIF('Resultats Reals'!$G$2:$G$17,BB44)&gt;0,1,0)</f>
        <v>0</v>
      </c>
      <c r="BY44">
        <f>IF(COUNTIF('Resultats Reals'!$I$2:$I$9,BC44)&gt;0,1,0)+IF(COUNTIF('Resultats Reals'!$I$2:$I$9,BD44)&gt;0,1,0)+IF(COUNTIF('Resultats Reals'!$I$2:$I$9,BE44)&gt;0,1,0)+IF(COUNTIF('Resultats Reals'!$I$2:$I$9,BF44)&gt;0,1,0)+IF(COUNTIF('Resultats Reals'!$I$2:$I$9,BG44)&gt;0,1,0)+IF(COUNTIF('Resultats Reals'!$I$2:$I$9,BH44)&gt;0,1,0)+IF(COUNTIF('Resultats Reals'!$I$2:$I$9,BI44)&gt;0,1,0)+IF(COUNTIF('Resultats Reals'!$I$2:$I$9,BJ44)&gt;0,1,0)</f>
        <v>0</v>
      </c>
      <c r="BZ44">
        <f>IF(COUNTIF('Resultats Reals'!$K$2:$K$5,BK44)&gt;0,1,0)+IF(COUNTIF('Resultats Reals'!$K$2:$K$5,BL44)&gt;0,1,0)+IF(COUNTIF('Resultats Reals'!$K$2:$K$5,BM44)&gt;0,1,0)+IF(COUNTIF('Resultats Reals'!$K$2:$K$5,BN44)&gt;0,1,0)</f>
        <v>0</v>
      </c>
      <c r="CA44">
        <f>IF(COUNTIF('Resultats Reals'!$M$2:$M$3,BO44)&gt;0,3,0)+IF(COUNTIF('Resultats Reals'!$M$2:$M$3,BP44)&gt;0,3,0)</f>
        <v>0</v>
      </c>
      <c r="CB44">
        <f>IF(BQ44='Resultats Reals'!$N$2,5,0)</f>
        <v>0</v>
      </c>
      <c r="CC44">
        <f>IF(BS44='Resultats Reals'!$O$2,5,0)</f>
        <v>0</v>
      </c>
      <c r="CD44">
        <f>IFERROR(VLOOKUP(BT44,'Resultats Reals'!$R$2:$S$100,2,FALSE),0)</f>
        <v>2</v>
      </c>
      <c r="CE44">
        <f>IF(BR44='Resultats Reals'!$P$2,5,0)</f>
        <v>0</v>
      </c>
      <c r="CF44" s="7">
        <f t="shared" si="0"/>
        <v>51</v>
      </c>
    </row>
    <row r="45" spans="1:84" x14ac:dyDescent="0.25">
      <c r="A45" t="s">
        <v>209</v>
      </c>
      <c r="B45" t="s">
        <v>85</v>
      </c>
      <c r="C45" t="s">
        <v>110</v>
      </c>
      <c r="D45" t="s">
        <v>87</v>
      </c>
      <c r="E45" t="s">
        <v>88</v>
      </c>
      <c r="F45" t="s">
        <v>89</v>
      </c>
      <c r="G45" t="s">
        <v>90</v>
      </c>
      <c r="H45" t="s">
        <v>115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86</v>
      </c>
      <c r="P45" t="s">
        <v>99</v>
      </c>
      <c r="Q45" t="s">
        <v>100</v>
      </c>
      <c r="R45" t="s">
        <v>101</v>
      </c>
      <c r="S45" t="s">
        <v>102</v>
      </c>
      <c r="T45" t="s">
        <v>91</v>
      </c>
      <c r="U45" t="s">
        <v>104</v>
      </c>
      <c r="V45" t="s">
        <v>105</v>
      </c>
      <c r="W45" t="s">
        <v>118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113</v>
      </c>
      <c r="AE45" t="s">
        <v>114</v>
      </c>
      <c r="AF45" t="s">
        <v>103</v>
      </c>
      <c r="AG45" t="s">
        <v>116</v>
      </c>
      <c r="AH45" t="s">
        <v>143</v>
      </c>
      <c r="AI45" t="s">
        <v>106</v>
      </c>
      <c r="AJ45" t="s">
        <v>119</v>
      </c>
      <c r="AK45" t="s">
        <v>128</v>
      </c>
      <c r="AL45" t="s">
        <v>121</v>
      </c>
      <c r="AM45" t="s">
        <v>90</v>
      </c>
      <c r="AN45" t="s">
        <v>94</v>
      </c>
      <c r="AO45" t="s">
        <v>86</v>
      </c>
      <c r="AP45" t="s">
        <v>100</v>
      </c>
      <c r="AQ45" t="s">
        <v>109</v>
      </c>
      <c r="AR45" t="s">
        <v>93</v>
      </c>
      <c r="AS45" t="s">
        <v>103</v>
      </c>
      <c r="AT45" t="s">
        <v>92</v>
      </c>
      <c r="AU45" t="s">
        <v>88</v>
      </c>
      <c r="AV45" t="s">
        <v>118</v>
      </c>
      <c r="AW45" t="s">
        <v>110</v>
      </c>
      <c r="AX45" t="s">
        <v>97</v>
      </c>
      <c r="AY45" t="s">
        <v>95</v>
      </c>
      <c r="AZ45" t="s">
        <v>101</v>
      </c>
      <c r="BA45" t="s">
        <v>87</v>
      </c>
      <c r="BB45" t="s">
        <v>96</v>
      </c>
      <c r="BC45" t="s">
        <v>94</v>
      </c>
      <c r="BD45" t="s">
        <v>100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97</v>
      </c>
      <c r="BN45" t="s">
        <v>95</v>
      </c>
      <c r="BO45" t="s">
        <v>94</v>
      </c>
      <c r="BP45" t="s">
        <v>97</v>
      </c>
      <c r="BQ45" t="s">
        <v>97</v>
      </c>
      <c r="BS45" t="s">
        <v>129</v>
      </c>
      <c r="BT45" t="s">
        <v>155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18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14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14.5</v>
      </c>
      <c r="BX45">
        <f>IF(COUNTIF('Resultats Reals'!$G$2:$G$17,AM45)&gt;0,1,0)+IF(COUNTIF('Resultats Reals'!$G$2:$G$17,AN45)&gt;0,1,0)+IF(COUNTIF('Resultats Reals'!$G$2:$G$17,AO45)&gt;0,1,0)+IF(COUNTIF('Resultats Reals'!$G$2:$G$17,AP45)&gt;0,1,0)+IF(COUNTIF('Resultats Reals'!$G$2:$G$17,AQ45)&gt;0,1,0)+IF(COUNTIF('Resultats Reals'!$G$2:$G$17,AR45)&gt;0,1,0)+IF(COUNTIF('Resultats Reals'!$G$2:$G$17,AS45)&gt;0,1,0)+IF(COUNTIF('Resultats Reals'!$G$2:$G$17,AT45)&gt;0,1,0)+IF(COUNTIF('Resultats Reals'!$G$2:$G$17,AU45)&gt;0,1,0)+IF(COUNTIF('Resultats Reals'!$G$2:$G$17,AV45)&gt;0,1,0)+IF(COUNTIF('Resultats Reals'!$G$2:$G$17,AW45)&gt;0,1,0)+IF(COUNTIF('Resultats Reals'!$G$2:$G$17,AX45)&gt;0,1,0)+IF(COUNTIF('Resultats Reals'!$G$2:$G$17,AY45)&gt;0,1,0)+IF(COUNTIF('Resultats Reals'!$G$2:$G$17,AZ45)&gt;0,1,0)+IF(COUNTIF('Resultats Reals'!$G$2:$G$17,BA45)&gt;0,1,0)+IF(COUNTIF('Resultats Reals'!$G$2:$G$17,BB45)&gt;0,1,0)</f>
        <v>0</v>
      </c>
      <c r="BY45">
        <f>IF(COUNTIF('Resultats Reals'!$I$2:$I$9,BC45)&gt;0,1,0)+IF(COUNTIF('Resultats Reals'!$I$2:$I$9,BD45)&gt;0,1,0)+IF(COUNTIF('Resultats Reals'!$I$2:$I$9,BE45)&gt;0,1,0)+IF(COUNTIF('Resultats Reals'!$I$2:$I$9,BF45)&gt;0,1,0)+IF(COUNTIF('Resultats Reals'!$I$2:$I$9,BG45)&gt;0,1,0)+IF(COUNTIF('Resultats Reals'!$I$2:$I$9,BH45)&gt;0,1,0)+IF(COUNTIF('Resultats Reals'!$I$2:$I$9,BI45)&gt;0,1,0)+IF(COUNTIF('Resultats Reals'!$I$2:$I$9,BJ45)&gt;0,1,0)</f>
        <v>0</v>
      </c>
      <c r="BZ45">
        <f>IF(COUNTIF('Resultats Reals'!$K$2:$K$5,BK45)&gt;0,1,0)+IF(COUNTIF('Resultats Reals'!$K$2:$K$5,BL45)&gt;0,1,0)+IF(COUNTIF('Resultats Reals'!$K$2:$K$5,BM45)&gt;0,1,0)+IF(COUNTIF('Resultats Reals'!$K$2:$K$5,BN45)&gt;0,1,0)</f>
        <v>0</v>
      </c>
      <c r="CA45">
        <f>IF(COUNTIF('Resultats Reals'!$M$2:$M$3,BO45)&gt;0,3,0)+IF(COUNTIF('Resultats Reals'!$M$2:$M$3,BP45)&gt;0,3,0)</f>
        <v>0</v>
      </c>
      <c r="CB45">
        <f>IF(BQ45='Resultats Reals'!$N$2,5,0)</f>
        <v>0</v>
      </c>
      <c r="CC45">
        <f>IF(BS45='Resultats Reals'!$O$2,5,0)</f>
        <v>0</v>
      </c>
      <c r="CD45">
        <f>IFERROR(VLOOKUP(BT45,'Resultats Reals'!$R$2:$S$100,2,FALSE),0)</f>
        <v>2</v>
      </c>
      <c r="CE45">
        <f>IF(BR45='Resultats Reals'!$P$2,5,0)</f>
        <v>0</v>
      </c>
      <c r="CF45" s="7">
        <f t="shared" si="0"/>
        <v>48.5</v>
      </c>
    </row>
    <row r="46" spans="1:84" x14ac:dyDescent="0.25">
      <c r="A46" t="s">
        <v>210</v>
      </c>
      <c r="B46" t="s">
        <v>85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96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114</v>
      </c>
      <c r="T46" t="s">
        <v>115</v>
      </c>
      <c r="U46" t="s">
        <v>104</v>
      </c>
      <c r="V46" t="s">
        <v>105</v>
      </c>
      <c r="W46" t="s">
        <v>118</v>
      </c>
      <c r="X46" t="s">
        <v>107</v>
      </c>
      <c r="Y46" t="s">
        <v>108</v>
      </c>
      <c r="Z46" t="s">
        <v>109</v>
      </c>
      <c r="AA46" t="s">
        <v>98</v>
      </c>
      <c r="AB46" t="s">
        <v>111</v>
      </c>
      <c r="AC46" t="s">
        <v>112</v>
      </c>
      <c r="AD46" t="s">
        <v>113</v>
      </c>
      <c r="AE46" t="s">
        <v>102</v>
      </c>
      <c r="AF46" t="s">
        <v>103</v>
      </c>
      <c r="AG46" t="s">
        <v>116</v>
      </c>
      <c r="AH46" t="s">
        <v>143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94</v>
      </c>
      <c r="AO46" t="s">
        <v>86</v>
      </c>
      <c r="AP46" t="s">
        <v>100</v>
      </c>
      <c r="AQ46" t="s">
        <v>109</v>
      </c>
      <c r="AR46" t="s">
        <v>93</v>
      </c>
      <c r="AS46" t="s">
        <v>103</v>
      </c>
      <c r="AT46" t="s">
        <v>92</v>
      </c>
      <c r="AU46" t="s">
        <v>88</v>
      </c>
      <c r="AV46" t="s">
        <v>118</v>
      </c>
      <c r="AW46" t="s">
        <v>89</v>
      </c>
      <c r="AX46" t="s">
        <v>97</v>
      </c>
      <c r="AY46" t="s">
        <v>95</v>
      </c>
      <c r="AZ46" t="s">
        <v>101</v>
      </c>
      <c r="BA46" t="s">
        <v>87</v>
      </c>
      <c r="BB46" t="s">
        <v>96</v>
      </c>
      <c r="BC46" t="s">
        <v>94</v>
      </c>
      <c r="BD46" t="s">
        <v>100</v>
      </c>
      <c r="BE46" t="s">
        <v>93</v>
      </c>
      <c r="BF46" t="s">
        <v>92</v>
      </c>
      <c r="BG46" t="s">
        <v>88</v>
      </c>
      <c r="BH46" t="s">
        <v>97</v>
      </c>
      <c r="BI46" t="s">
        <v>95</v>
      </c>
      <c r="BJ46" t="s">
        <v>96</v>
      </c>
      <c r="BK46" t="s">
        <v>94</v>
      </c>
      <c r="BL46" t="s">
        <v>93</v>
      </c>
      <c r="BM46" t="s">
        <v>88</v>
      </c>
      <c r="BN46" t="s">
        <v>95</v>
      </c>
      <c r="BO46" t="s">
        <v>94</v>
      </c>
      <c r="BP46" t="s">
        <v>93</v>
      </c>
      <c r="BQ46" t="s">
        <v>93</v>
      </c>
      <c r="BR46" s="6" t="s">
        <v>211</v>
      </c>
      <c r="BS46" t="s">
        <v>122</v>
      </c>
      <c r="BT46" t="s">
        <v>212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20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17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14</v>
      </c>
      <c r="BX46">
        <f>IF(COUNTIF('Resultats Reals'!$G$2:$G$17,AM46)&gt;0,1,0)+IF(COUNTIF('Resultats Reals'!$G$2:$G$17,AN46)&gt;0,1,0)+IF(COUNTIF('Resultats Reals'!$G$2:$G$17,AO46)&gt;0,1,0)+IF(COUNTIF('Resultats Reals'!$G$2:$G$17,AP46)&gt;0,1,0)+IF(COUNTIF('Resultats Reals'!$G$2:$G$17,AQ46)&gt;0,1,0)+IF(COUNTIF('Resultats Reals'!$G$2:$G$17,AR46)&gt;0,1,0)+IF(COUNTIF('Resultats Reals'!$G$2:$G$17,AS46)&gt;0,1,0)+IF(COUNTIF('Resultats Reals'!$G$2:$G$17,AT46)&gt;0,1,0)+IF(COUNTIF('Resultats Reals'!$G$2:$G$17,AU46)&gt;0,1,0)+IF(COUNTIF('Resultats Reals'!$G$2:$G$17,AV46)&gt;0,1,0)+IF(COUNTIF('Resultats Reals'!$G$2:$G$17,AW46)&gt;0,1,0)+IF(COUNTIF('Resultats Reals'!$G$2:$G$17,AX46)&gt;0,1,0)+IF(COUNTIF('Resultats Reals'!$G$2:$G$17,AY46)&gt;0,1,0)+IF(COUNTIF('Resultats Reals'!$G$2:$G$17,AZ46)&gt;0,1,0)+IF(COUNTIF('Resultats Reals'!$G$2:$G$17,BA46)&gt;0,1,0)+IF(COUNTIF('Resultats Reals'!$G$2:$G$17,BB46)&gt;0,1,0)</f>
        <v>0</v>
      </c>
      <c r="BY46">
        <f>IF(COUNTIF('Resultats Reals'!$I$2:$I$9,BC46)&gt;0,1,0)+IF(COUNTIF('Resultats Reals'!$I$2:$I$9,BD46)&gt;0,1,0)+IF(COUNTIF('Resultats Reals'!$I$2:$I$9,BE46)&gt;0,1,0)+IF(COUNTIF('Resultats Reals'!$I$2:$I$9,BF46)&gt;0,1,0)+IF(COUNTIF('Resultats Reals'!$I$2:$I$9,BG46)&gt;0,1,0)+IF(COUNTIF('Resultats Reals'!$I$2:$I$9,BH46)&gt;0,1,0)+IF(COUNTIF('Resultats Reals'!$I$2:$I$9,BI46)&gt;0,1,0)+IF(COUNTIF('Resultats Reals'!$I$2:$I$9,BJ46)&gt;0,1,0)</f>
        <v>0</v>
      </c>
      <c r="BZ46">
        <f>IF(COUNTIF('Resultats Reals'!$K$2:$K$5,BK46)&gt;0,1,0)+IF(COUNTIF('Resultats Reals'!$K$2:$K$5,BL46)&gt;0,1,0)+IF(COUNTIF('Resultats Reals'!$K$2:$K$5,BM46)&gt;0,1,0)+IF(COUNTIF('Resultats Reals'!$K$2:$K$5,BN46)&gt;0,1,0)</f>
        <v>0</v>
      </c>
      <c r="CA46">
        <f>IF(COUNTIF('Resultats Reals'!$M$2:$M$3,BO46)&gt;0,3,0)+IF(COUNTIF('Resultats Reals'!$M$2:$M$3,BP46)&gt;0,3,0)</f>
        <v>0</v>
      </c>
      <c r="CB46">
        <f>IF(BQ46='Resultats Reals'!$N$2,5,0)</f>
        <v>0</v>
      </c>
      <c r="CC46">
        <f>IF(BS46='Resultats Reals'!$O$2,5,0)</f>
        <v>0</v>
      </c>
      <c r="CD46">
        <f>IFERROR(VLOOKUP(BT46,'Resultats Reals'!$R$2:$S$100,2,FALSE),0)</f>
        <v>0</v>
      </c>
      <c r="CE46">
        <f>IF(BR46='Resultats Reals'!$P$2,5,0)</f>
        <v>0</v>
      </c>
      <c r="CF46" s="7">
        <f t="shared" si="0"/>
        <v>51</v>
      </c>
    </row>
    <row r="47" spans="1:84" x14ac:dyDescent="0.25">
      <c r="A47" t="s">
        <v>213</v>
      </c>
      <c r="B47" t="s">
        <v>136</v>
      </c>
      <c r="C47" t="s">
        <v>131</v>
      </c>
      <c r="D47" t="s">
        <v>111</v>
      </c>
      <c r="E47" t="s">
        <v>88</v>
      </c>
      <c r="F47" t="s">
        <v>89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86</v>
      </c>
      <c r="P47" t="s">
        <v>99</v>
      </c>
      <c r="Q47" t="s">
        <v>100</v>
      </c>
      <c r="R47" t="s">
        <v>113</v>
      </c>
      <c r="S47" t="s">
        <v>102</v>
      </c>
      <c r="T47" t="s">
        <v>132</v>
      </c>
      <c r="U47" t="s">
        <v>116</v>
      </c>
      <c r="V47" t="s">
        <v>105</v>
      </c>
      <c r="W47" t="s">
        <v>106</v>
      </c>
      <c r="X47" t="s">
        <v>119</v>
      </c>
      <c r="Y47" t="s">
        <v>108</v>
      </c>
      <c r="Z47" t="s">
        <v>109</v>
      </c>
      <c r="AA47" t="s">
        <v>110</v>
      </c>
      <c r="AB47" t="s">
        <v>87</v>
      </c>
      <c r="AC47" t="s">
        <v>112</v>
      </c>
      <c r="AD47" t="s">
        <v>101</v>
      </c>
      <c r="AE47" t="s">
        <v>114</v>
      </c>
      <c r="AF47" t="s">
        <v>103</v>
      </c>
      <c r="AG47" t="s">
        <v>104</v>
      </c>
      <c r="AH47" t="s">
        <v>117</v>
      </c>
      <c r="AI47" t="s">
        <v>118</v>
      </c>
      <c r="AJ47" t="s">
        <v>107</v>
      </c>
      <c r="AK47" t="s">
        <v>120</v>
      </c>
      <c r="AL47" t="s">
        <v>121</v>
      </c>
      <c r="AM47" t="s">
        <v>90</v>
      </c>
      <c r="AN47" t="s">
        <v>94</v>
      </c>
      <c r="AO47" t="s">
        <v>86</v>
      </c>
      <c r="AP47" t="s">
        <v>91</v>
      </c>
      <c r="AQ47" t="s">
        <v>109</v>
      </c>
      <c r="AR47" t="s">
        <v>93</v>
      </c>
      <c r="AS47" t="s">
        <v>89</v>
      </c>
      <c r="AT47" t="s">
        <v>92</v>
      </c>
      <c r="AU47" t="s">
        <v>88</v>
      </c>
      <c r="AV47" t="s">
        <v>106</v>
      </c>
      <c r="AW47" t="s">
        <v>131</v>
      </c>
      <c r="AX47" t="s">
        <v>97</v>
      </c>
      <c r="AY47" t="s">
        <v>105</v>
      </c>
      <c r="AZ47" t="s">
        <v>113</v>
      </c>
      <c r="BA47" t="s">
        <v>112</v>
      </c>
      <c r="BB47" t="s">
        <v>96</v>
      </c>
      <c r="BC47" t="s">
        <v>90</v>
      </c>
      <c r="BD47" t="s">
        <v>91</v>
      </c>
      <c r="BE47" t="s">
        <v>93</v>
      </c>
      <c r="BF47" t="s">
        <v>92</v>
      </c>
      <c r="BG47" t="s">
        <v>88</v>
      </c>
      <c r="BH47" t="s">
        <v>97</v>
      </c>
      <c r="BI47" t="s">
        <v>105</v>
      </c>
      <c r="BJ47" t="s">
        <v>96</v>
      </c>
      <c r="BK47" t="s">
        <v>91</v>
      </c>
      <c r="BL47" t="s">
        <v>93</v>
      </c>
      <c r="BM47" t="s">
        <v>97</v>
      </c>
      <c r="BN47" t="s">
        <v>96</v>
      </c>
      <c r="BO47" t="s">
        <v>93</v>
      </c>
      <c r="BP47" t="s">
        <v>97</v>
      </c>
      <c r="BQ47" t="s">
        <v>93</v>
      </c>
      <c r="BS47" t="s">
        <v>158</v>
      </c>
      <c r="BT47" t="s">
        <v>122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17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12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13</v>
      </c>
      <c r="BX47">
        <f>IF(COUNTIF('Resultats Reals'!$G$2:$G$17,AM47)&gt;0,1,0)+IF(COUNTIF('Resultats Reals'!$G$2:$G$17,AN47)&gt;0,1,0)+IF(COUNTIF('Resultats Reals'!$G$2:$G$17,AO47)&gt;0,1,0)+IF(COUNTIF('Resultats Reals'!$G$2:$G$17,AP47)&gt;0,1,0)+IF(COUNTIF('Resultats Reals'!$G$2:$G$17,AQ47)&gt;0,1,0)+IF(COUNTIF('Resultats Reals'!$G$2:$G$17,AR47)&gt;0,1,0)+IF(COUNTIF('Resultats Reals'!$G$2:$G$17,AS47)&gt;0,1,0)+IF(COUNTIF('Resultats Reals'!$G$2:$G$17,AT47)&gt;0,1,0)+IF(COUNTIF('Resultats Reals'!$G$2:$G$17,AU47)&gt;0,1,0)+IF(COUNTIF('Resultats Reals'!$G$2:$G$17,AV47)&gt;0,1,0)+IF(COUNTIF('Resultats Reals'!$G$2:$G$17,AW47)&gt;0,1,0)+IF(COUNTIF('Resultats Reals'!$G$2:$G$17,AX47)&gt;0,1,0)+IF(COUNTIF('Resultats Reals'!$G$2:$G$17,AY47)&gt;0,1,0)+IF(COUNTIF('Resultats Reals'!$G$2:$G$17,AZ47)&gt;0,1,0)+IF(COUNTIF('Resultats Reals'!$G$2:$G$17,BA47)&gt;0,1,0)+IF(COUNTIF('Resultats Reals'!$G$2:$G$17,BB47)&gt;0,1,0)</f>
        <v>0</v>
      </c>
      <c r="BY47">
        <f>IF(COUNTIF('Resultats Reals'!$I$2:$I$9,BC47)&gt;0,1,0)+IF(COUNTIF('Resultats Reals'!$I$2:$I$9,BD47)&gt;0,1,0)+IF(COUNTIF('Resultats Reals'!$I$2:$I$9,BE47)&gt;0,1,0)+IF(COUNTIF('Resultats Reals'!$I$2:$I$9,BF47)&gt;0,1,0)+IF(COUNTIF('Resultats Reals'!$I$2:$I$9,BG47)&gt;0,1,0)+IF(COUNTIF('Resultats Reals'!$I$2:$I$9,BH47)&gt;0,1,0)+IF(COUNTIF('Resultats Reals'!$I$2:$I$9,BI47)&gt;0,1,0)+IF(COUNTIF('Resultats Reals'!$I$2:$I$9,BJ47)&gt;0,1,0)</f>
        <v>0</v>
      </c>
      <c r="BZ47">
        <f>IF(COUNTIF('Resultats Reals'!$K$2:$K$5,BK47)&gt;0,1,0)+IF(COUNTIF('Resultats Reals'!$K$2:$K$5,BL47)&gt;0,1,0)+IF(COUNTIF('Resultats Reals'!$K$2:$K$5,BM47)&gt;0,1,0)+IF(COUNTIF('Resultats Reals'!$K$2:$K$5,BN47)&gt;0,1,0)</f>
        <v>0</v>
      </c>
      <c r="CA47">
        <f>IF(COUNTIF('Resultats Reals'!$M$2:$M$3,BO47)&gt;0,3,0)+IF(COUNTIF('Resultats Reals'!$M$2:$M$3,BP47)&gt;0,3,0)</f>
        <v>0</v>
      </c>
      <c r="CB47">
        <f>IF(BQ47='Resultats Reals'!$N$2,5,0)</f>
        <v>0</v>
      </c>
      <c r="CC47">
        <f>IF(BS47='Resultats Reals'!$O$2,5,0)</f>
        <v>0</v>
      </c>
      <c r="CD47">
        <f>IFERROR(VLOOKUP(BT47,'Resultats Reals'!$R$2:$S$100,2,FALSE),0)</f>
        <v>0</v>
      </c>
      <c r="CE47">
        <f>IF(BR47='Resultats Reals'!$P$2,5,0)</f>
        <v>0</v>
      </c>
      <c r="CF47" s="7">
        <f t="shared" si="0"/>
        <v>42</v>
      </c>
    </row>
    <row r="48" spans="1:84" x14ac:dyDescent="0.25">
      <c r="A48" t="s">
        <v>214</v>
      </c>
      <c r="B48" t="s">
        <v>136</v>
      </c>
      <c r="C48" t="s">
        <v>86</v>
      </c>
      <c r="D48" t="s">
        <v>99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87</v>
      </c>
      <c r="Q48" t="s">
        <v>100</v>
      </c>
      <c r="R48" t="s">
        <v>89</v>
      </c>
      <c r="S48" t="s">
        <v>102</v>
      </c>
      <c r="T48" t="s">
        <v>115</v>
      </c>
      <c r="U48" t="s">
        <v>116</v>
      </c>
      <c r="V48" t="s">
        <v>105</v>
      </c>
      <c r="W48" t="s">
        <v>118</v>
      </c>
      <c r="X48" t="s">
        <v>119</v>
      </c>
      <c r="Y48" t="s">
        <v>96</v>
      </c>
      <c r="Z48" t="s">
        <v>121</v>
      </c>
      <c r="AA48" t="s">
        <v>131</v>
      </c>
      <c r="AB48" t="s">
        <v>111</v>
      </c>
      <c r="AC48" t="s">
        <v>112</v>
      </c>
      <c r="AD48" t="s">
        <v>113</v>
      </c>
      <c r="AE48" t="s">
        <v>114</v>
      </c>
      <c r="AF48" t="s">
        <v>103</v>
      </c>
      <c r="AG48" t="s">
        <v>104</v>
      </c>
      <c r="AH48" t="s">
        <v>117</v>
      </c>
      <c r="AI48" t="s">
        <v>106</v>
      </c>
      <c r="AJ48" t="s">
        <v>107</v>
      </c>
      <c r="AK48" t="s">
        <v>128</v>
      </c>
      <c r="AL48" t="s">
        <v>109</v>
      </c>
      <c r="AM48" t="s">
        <v>90</v>
      </c>
      <c r="AN48" t="s">
        <v>94</v>
      </c>
      <c r="AO48" t="s">
        <v>87</v>
      </c>
      <c r="AP48" t="s">
        <v>91</v>
      </c>
      <c r="AQ48" t="s">
        <v>96</v>
      </c>
      <c r="AR48" t="s">
        <v>93</v>
      </c>
      <c r="AS48" t="s">
        <v>101</v>
      </c>
      <c r="AT48" t="s">
        <v>92</v>
      </c>
      <c r="AU48" t="s">
        <v>88</v>
      </c>
      <c r="AV48" t="s">
        <v>118</v>
      </c>
      <c r="AW48" t="s">
        <v>86</v>
      </c>
      <c r="AX48" t="s">
        <v>97</v>
      </c>
      <c r="AY48" t="s">
        <v>95</v>
      </c>
      <c r="AZ48" t="s">
        <v>89</v>
      </c>
      <c r="BA48" t="s">
        <v>99</v>
      </c>
      <c r="BB48" t="s">
        <v>108</v>
      </c>
      <c r="BC48" t="s">
        <v>94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95</v>
      </c>
      <c r="BJ48" t="s">
        <v>108</v>
      </c>
      <c r="BK48" t="s">
        <v>94</v>
      </c>
      <c r="BL48" t="s">
        <v>93</v>
      </c>
      <c r="BM48" t="s">
        <v>97</v>
      </c>
      <c r="BN48" t="s">
        <v>95</v>
      </c>
      <c r="BO48" t="s">
        <v>93</v>
      </c>
      <c r="BP48" t="s">
        <v>97</v>
      </c>
      <c r="BQ48" t="s">
        <v>93</v>
      </c>
      <c r="BS48" t="s">
        <v>122</v>
      </c>
      <c r="BT48" t="s">
        <v>129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20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15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11.5</v>
      </c>
      <c r="BX48">
        <f>IF(COUNTIF('Resultats Reals'!$G$2:$G$17,AM48)&gt;0,1,0)+IF(COUNTIF('Resultats Reals'!$G$2:$G$17,AN48)&gt;0,1,0)+IF(COUNTIF('Resultats Reals'!$G$2:$G$17,AO48)&gt;0,1,0)+IF(COUNTIF('Resultats Reals'!$G$2:$G$17,AP48)&gt;0,1,0)+IF(COUNTIF('Resultats Reals'!$G$2:$G$17,AQ48)&gt;0,1,0)+IF(COUNTIF('Resultats Reals'!$G$2:$G$17,AR48)&gt;0,1,0)+IF(COUNTIF('Resultats Reals'!$G$2:$G$17,AS48)&gt;0,1,0)+IF(COUNTIF('Resultats Reals'!$G$2:$G$17,AT48)&gt;0,1,0)+IF(COUNTIF('Resultats Reals'!$G$2:$G$17,AU48)&gt;0,1,0)+IF(COUNTIF('Resultats Reals'!$G$2:$G$17,AV48)&gt;0,1,0)+IF(COUNTIF('Resultats Reals'!$G$2:$G$17,AW48)&gt;0,1,0)+IF(COUNTIF('Resultats Reals'!$G$2:$G$17,AX48)&gt;0,1,0)+IF(COUNTIF('Resultats Reals'!$G$2:$G$17,AY48)&gt;0,1,0)+IF(COUNTIF('Resultats Reals'!$G$2:$G$17,AZ48)&gt;0,1,0)+IF(COUNTIF('Resultats Reals'!$G$2:$G$17,BA48)&gt;0,1,0)+IF(COUNTIF('Resultats Reals'!$G$2:$G$17,BB48)&gt;0,1,0)</f>
        <v>0</v>
      </c>
      <c r="BY48">
        <f>IF(COUNTIF('Resultats Reals'!$I$2:$I$9,BC48)&gt;0,1,0)+IF(COUNTIF('Resultats Reals'!$I$2:$I$9,BD48)&gt;0,1,0)+IF(COUNTIF('Resultats Reals'!$I$2:$I$9,BE48)&gt;0,1,0)+IF(COUNTIF('Resultats Reals'!$I$2:$I$9,BF48)&gt;0,1,0)+IF(COUNTIF('Resultats Reals'!$I$2:$I$9,BG48)&gt;0,1,0)+IF(COUNTIF('Resultats Reals'!$I$2:$I$9,BH48)&gt;0,1,0)+IF(COUNTIF('Resultats Reals'!$I$2:$I$9,BI48)&gt;0,1,0)+IF(COUNTIF('Resultats Reals'!$I$2:$I$9,BJ48)&gt;0,1,0)</f>
        <v>0</v>
      </c>
      <c r="BZ48">
        <f>IF(COUNTIF('Resultats Reals'!$K$2:$K$5,BK48)&gt;0,1,0)+IF(COUNTIF('Resultats Reals'!$K$2:$K$5,BL48)&gt;0,1,0)+IF(COUNTIF('Resultats Reals'!$K$2:$K$5,BM48)&gt;0,1,0)+IF(COUNTIF('Resultats Reals'!$K$2:$K$5,BN48)&gt;0,1,0)</f>
        <v>0</v>
      </c>
      <c r="CA48">
        <f>IF(COUNTIF('Resultats Reals'!$M$2:$M$3,BO48)&gt;0,3,0)+IF(COUNTIF('Resultats Reals'!$M$2:$M$3,BP48)&gt;0,3,0)</f>
        <v>0</v>
      </c>
      <c r="CB48">
        <f>IF(BQ48='Resultats Reals'!$N$2,5,0)</f>
        <v>0</v>
      </c>
      <c r="CC48">
        <f>IF(BS48='Resultats Reals'!$O$2,5,0)</f>
        <v>0</v>
      </c>
      <c r="CD48">
        <f>IFERROR(VLOOKUP(BT48,'Resultats Reals'!$R$2:$S$100,2,FALSE),0)</f>
        <v>2</v>
      </c>
      <c r="CE48">
        <f>IF(BR48='Resultats Reals'!$P$2,5,0)</f>
        <v>0</v>
      </c>
      <c r="CF48" s="7">
        <f t="shared" si="0"/>
        <v>48.5</v>
      </c>
    </row>
    <row r="49" spans="1:84" x14ac:dyDescent="0.25">
      <c r="A49" t="s">
        <v>215</v>
      </c>
      <c r="B49" t="s">
        <v>85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98</v>
      </c>
      <c r="P49" t="s">
        <v>87</v>
      </c>
      <c r="Q49" t="s">
        <v>100</v>
      </c>
      <c r="R49" t="s">
        <v>89</v>
      </c>
      <c r="S49" t="s">
        <v>102</v>
      </c>
      <c r="T49" t="s">
        <v>115</v>
      </c>
      <c r="U49" t="s">
        <v>104</v>
      </c>
      <c r="V49" t="s">
        <v>105</v>
      </c>
      <c r="W49" t="s">
        <v>106</v>
      </c>
      <c r="X49" t="s">
        <v>107</v>
      </c>
      <c r="Y49" t="s">
        <v>108</v>
      </c>
      <c r="Z49" t="s">
        <v>109</v>
      </c>
      <c r="AA49" t="s">
        <v>131</v>
      </c>
      <c r="AB49" t="s">
        <v>126</v>
      </c>
      <c r="AC49" t="s">
        <v>112</v>
      </c>
      <c r="AD49" t="s">
        <v>101</v>
      </c>
      <c r="AE49" t="s">
        <v>114</v>
      </c>
      <c r="AF49" t="s">
        <v>132</v>
      </c>
      <c r="AG49" t="s">
        <v>116</v>
      </c>
      <c r="AH49" t="s">
        <v>117</v>
      </c>
      <c r="AI49" t="s">
        <v>118</v>
      </c>
      <c r="AJ49" t="s">
        <v>119</v>
      </c>
      <c r="AK49" t="s">
        <v>128</v>
      </c>
      <c r="AL49" t="s">
        <v>121</v>
      </c>
      <c r="AM49" t="s">
        <v>88</v>
      </c>
      <c r="AN49" t="s">
        <v>86</v>
      </c>
      <c r="AO49" t="s">
        <v>90</v>
      </c>
      <c r="AP49" t="s">
        <v>91</v>
      </c>
      <c r="AQ49" t="s">
        <v>93</v>
      </c>
      <c r="AR49" t="s">
        <v>94</v>
      </c>
      <c r="AS49" t="s">
        <v>95</v>
      </c>
      <c r="AT49" t="s">
        <v>96</v>
      </c>
      <c r="AU49" t="s">
        <v>97</v>
      </c>
      <c r="AV49" t="s">
        <v>100</v>
      </c>
      <c r="AW49" t="s">
        <v>105</v>
      </c>
      <c r="AX49" t="s">
        <v>102</v>
      </c>
      <c r="AY49" t="s">
        <v>108</v>
      </c>
      <c r="AZ49" t="s">
        <v>92</v>
      </c>
      <c r="BA49" t="s">
        <v>115</v>
      </c>
      <c r="BB49" t="s">
        <v>109</v>
      </c>
      <c r="BC49" t="s">
        <v>93</v>
      </c>
      <c r="BD49" t="s">
        <v>94</v>
      </c>
      <c r="BE49" t="s">
        <v>96</v>
      </c>
      <c r="BF49" t="s">
        <v>95</v>
      </c>
      <c r="BG49" t="s">
        <v>97</v>
      </c>
      <c r="BH49" t="s">
        <v>91</v>
      </c>
      <c r="BI49" t="s">
        <v>88</v>
      </c>
      <c r="BJ49" t="s">
        <v>90</v>
      </c>
      <c r="BK49" t="s">
        <v>93</v>
      </c>
      <c r="BL49" t="s">
        <v>94</v>
      </c>
      <c r="BM49" t="s">
        <v>95</v>
      </c>
      <c r="BN49" t="s">
        <v>96</v>
      </c>
      <c r="BO49" t="s">
        <v>93</v>
      </c>
      <c r="BP49" t="s">
        <v>96</v>
      </c>
      <c r="BQ49" t="s">
        <v>93</v>
      </c>
      <c r="BR49" s="6" t="s">
        <v>216</v>
      </c>
      <c r="BS49" t="s">
        <v>129</v>
      </c>
      <c r="BT49" t="s">
        <v>122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20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17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8</v>
      </c>
      <c r="BX49">
        <f>IF(COUNTIF('Resultats Reals'!$G$2:$G$17,AM49)&gt;0,1,0)+IF(COUNTIF('Resultats Reals'!$G$2:$G$17,AN49)&gt;0,1,0)+IF(COUNTIF('Resultats Reals'!$G$2:$G$17,AO49)&gt;0,1,0)+IF(COUNTIF('Resultats Reals'!$G$2:$G$17,AP49)&gt;0,1,0)+IF(COUNTIF('Resultats Reals'!$G$2:$G$17,AQ49)&gt;0,1,0)+IF(COUNTIF('Resultats Reals'!$G$2:$G$17,AR49)&gt;0,1,0)+IF(COUNTIF('Resultats Reals'!$G$2:$G$17,AS49)&gt;0,1,0)+IF(COUNTIF('Resultats Reals'!$G$2:$G$17,AT49)&gt;0,1,0)+IF(COUNTIF('Resultats Reals'!$G$2:$G$17,AU49)&gt;0,1,0)+IF(COUNTIF('Resultats Reals'!$G$2:$G$17,AV49)&gt;0,1,0)+IF(COUNTIF('Resultats Reals'!$G$2:$G$17,AW49)&gt;0,1,0)+IF(COUNTIF('Resultats Reals'!$G$2:$G$17,AX49)&gt;0,1,0)+IF(COUNTIF('Resultats Reals'!$G$2:$G$17,AY49)&gt;0,1,0)+IF(COUNTIF('Resultats Reals'!$G$2:$G$17,AZ49)&gt;0,1,0)+IF(COUNTIF('Resultats Reals'!$G$2:$G$17,BA49)&gt;0,1,0)+IF(COUNTIF('Resultats Reals'!$G$2:$G$17,BB49)&gt;0,1,0)</f>
        <v>0</v>
      </c>
      <c r="BY49">
        <f>IF(COUNTIF('Resultats Reals'!$I$2:$I$9,BC49)&gt;0,1,0)+IF(COUNTIF('Resultats Reals'!$I$2:$I$9,BD49)&gt;0,1,0)+IF(COUNTIF('Resultats Reals'!$I$2:$I$9,BE49)&gt;0,1,0)+IF(COUNTIF('Resultats Reals'!$I$2:$I$9,BF49)&gt;0,1,0)+IF(COUNTIF('Resultats Reals'!$I$2:$I$9,BG49)&gt;0,1,0)+IF(COUNTIF('Resultats Reals'!$I$2:$I$9,BH49)&gt;0,1,0)+IF(COUNTIF('Resultats Reals'!$I$2:$I$9,BI49)&gt;0,1,0)+IF(COUNTIF('Resultats Reals'!$I$2:$I$9,BJ49)&gt;0,1,0)</f>
        <v>0</v>
      </c>
      <c r="BZ49">
        <f>IF(COUNTIF('Resultats Reals'!$K$2:$K$5,BK49)&gt;0,1,0)+IF(COUNTIF('Resultats Reals'!$K$2:$K$5,BL49)&gt;0,1,0)+IF(COUNTIF('Resultats Reals'!$K$2:$K$5,BM49)&gt;0,1,0)+IF(COUNTIF('Resultats Reals'!$K$2:$K$5,BN49)&gt;0,1,0)</f>
        <v>0</v>
      </c>
      <c r="CA49">
        <f>IF(COUNTIF('Resultats Reals'!$M$2:$M$3,BO49)&gt;0,3,0)+IF(COUNTIF('Resultats Reals'!$M$2:$M$3,BP49)&gt;0,3,0)</f>
        <v>0</v>
      </c>
      <c r="CB49">
        <f>IF(BQ49='Resultats Reals'!$N$2,5,0)</f>
        <v>0</v>
      </c>
      <c r="CC49">
        <f>IF(BS49='Resultats Reals'!$O$2,5,0)</f>
        <v>0</v>
      </c>
      <c r="CD49">
        <f>IFERROR(VLOOKUP(BT49,'Resultats Reals'!$R$2:$S$100,2,FALSE),0)</f>
        <v>0</v>
      </c>
      <c r="CE49">
        <f>IF(BR49='Resultats Reals'!$P$2,5,0)</f>
        <v>0</v>
      </c>
      <c r="CF49" s="7">
        <f t="shared" si="0"/>
        <v>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2" sqref="B2"/>
    </sheetView>
  </sheetViews>
  <sheetFormatPr baseColWidth="10" defaultColWidth="10.7109375" defaultRowHeight="15" x14ac:dyDescent="0.25"/>
  <cols>
    <col min="1" max="1" width="25.28515625" bestFit="1" customWidth="1"/>
    <col min="2" max="2" width="8.28515625" bestFit="1" customWidth="1"/>
  </cols>
  <sheetData>
    <row r="1" spans="1:2" x14ac:dyDescent="0.25">
      <c r="A1" s="11" t="s">
        <v>243</v>
      </c>
      <c r="B1" t="s">
        <v>244</v>
      </c>
    </row>
    <row r="2" spans="1:2" x14ac:dyDescent="0.25">
      <c r="A2" s="12" t="s">
        <v>124</v>
      </c>
      <c r="B2">
        <v>45.5</v>
      </c>
    </row>
    <row r="3" spans="1:2" x14ac:dyDescent="0.25">
      <c r="A3" s="12" t="s">
        <v>135</v>
      </c>
      <c r="B3">
        <v>45.5</v>
      </c>
    </row>
    <row r="4" spans="1:2" x14ac:dyDescent="0.25">
      <c r="A4" s="12" t="s">
        <v>205</v>
      </c>
      <c r="B4">
        <v>45</v>
      </c>
    </row>
    <row r="5" spans="1:2" x14ac:dyDescent="0.25">
      <c r="A5" s="12" t="s">
        <v>138</v>
      </c>
      <c r="B5">
        <v>44.5</v>
      </c>
    </row>
    <row r="6" spans="1:2" x14ac:dyDescent="0.25">
      <c r="A6" s="12" t="s">
        <v>208</v>
      </c>
      <c r="B6">
        <v>44.5</v>
      </c>
    </row>
    <row r="7" spans="1:2" x14ac:dyDescent="0.25">
      <c r="A7" s="12" t="s">
        <v>206</v>
      </c>
      <c r="B7">
        <v>43</v>
      </c>
    </row>
    <row r="8" spans="1:2" x14ac:dyDescent="0.25">
      <c r="A8" s="12" t="s">
        <v>174</v>
      </c>
      <c r="B8">
        <v>42.5</v>
      </c>
    </row>
    <row r="9" spans="1:2" x14ac:dyDescent="0.25">
      <c r="A9" s="12" t="s">
        <v>193</v>
      </c>
      <c r="B9">
        <v>42.5</v>
      </c>
    </row>
    <row r="10" spans="1:2" x14ac:dyDescent="0.25">
      <c r="A10" s="12" t="s">
        <v>189</v>
      </c>
      <c r="B10">
        <v>42.5</v>
      </c>
    </row>
    <row r="11" spans="1:2" x14ac:dyDescent="0.25">
      <c r="A11" s="12" t="s">
        <v>185</v>
      </c>
      <c r="B11">
        <v>42</v>
      </c>
    </row>
    <row r="12" spans="1:2" x14ac:dyDescent="0.25">
      <c r="A12" s="12" t="s">
        <v>152</v>
      </c>
      <c r="B12">
        <v>42</v>
      </c>
    </row>
    <row r="13" spans="1:2" x14ac:dyDescent="0.25">
      <c r="A13" s="12" t="s">
        <v>192</v>
      </c>
      <c r="B13">
        <v>42</v>
      </c>
    </row>
    <row r="14" spans="1:2" x14ac:dyDescent="0.25">
      <c r="A14" s="12" t="s">
        <v>137</v>
      </c>
      <c r="B14">
        <v>41.5</v>
      </c>
    </row>
    <row r="15" spans="1:2" x14ac:dyDescent="0.25">
      <c r="A15" s="12" t="s">
        <v>179</v>
      </c>
      <c r="B15">
        <v>41.5</v>
      </c>
    </row>
    <row r="16" spans="1:2" x14ac:dyDescent="0.25">
      <c r="A16" s="12" t="s">
        <v>147</v>
      </c>
      <c r="B16">
        <v>41</v>
      </c>
    </row>
    <row r="17" spans="1:2" x14ac:dyDescent="0.25">
      <c r="A17" s="12" t="s">
        <v>202</v>
      </c>
      <c r="B17">
        <v>41</v>
      </c>
    </row>
    <row r="18" spans="1:2" x14ac:dyDescent="0.25">
      <c r="A18" s="12" t="s">
        <v>166</v>
      </c>
      <c r="B18">
        <v>41</v>
      </c>
    </row>
    <row r="19" spans="1:2" x14ac:dyDescent="0.25">
      <c r="A19" s="12" t="s">
        <v>191</v>
      </c>
      <c r="B19">
        <v>41</v>
      </c>
    </row>
    <row r="20" spans="1:2" x14ac:dyDescent="0.25">
      <c r="A20" s="12" t="s">
        <v>156</v>
      </c>
      <c r="B20">
        <v>41</v>
      </c>
    </row>
    <row r="21" spans="1:2" x14ac:dyDescent="0.25">
      <c r="A21" s="12" t="s">
        <v>176</v>
      </c>
      <c r="B21">
        <v>41</v>
      </c>
    </row>
    <row r="22" spans="1:2" x14ac:dyDescent="0.25">
      <c r="A22" s="12" t="s">
        <v>210</v>
      </c>
      <c r="B22">
        <v>40.5</v>
      </c>
    </row>
    <row r="23" spans="1:2" x14ac:dyDescent="0.25">
      <c r="A23" s="12" t="s">
        <v>196</v>
      </c>
      <c r="B23">
        <v>40.5</v>
      </c>
    </row>
    <row r="24" spans="1:2" x14ac:dyDescent="0.25">
      <c r="A24" s="12" t="s">
        <v>150</v>
      </c>
      <c r="B24">
        <v>40.5</v>
      </c>
    </row>
    <row r="25" spans="1:2" x14ac:dyDescent="0.25">
      <c r="A25" s="12" t="s">
        <v>130</v>
      </c>
      <c r="B25">
        <v>40</v>
      </c>
    </row>
    <row r="26" spans="1:2" x14ac:dyDescent="0.25">
      <c r="A26" s="12" t="s">
        <v>159</v>
      </c>
      <c r="B26">
        <v>39.5</v>
      </c>
    </row>
    <row r="27" spans="1:2" x14ac:dyDescent="0.25">
      <c r="A27" s="12" t="s">
        <v>154</v>
      </c>
      <c r="B27">
        <v>39.5</v>
      </c>
    </row>
    <row r="28" spans="1:2" x14ac:dyDescent="0.25">
      <c r="A28" s="12" t="s">
        <v>157</v>
      </c>
      <c r="B28">
        <v>39.5</v>
      </c>
    </row>
    <row r="29" spans="1:2" x14ac:dyDescent="0.25">
      <c r="A29" s="12" t="s">
        <v>169</v>
      </c>
      <c r="B29">
        <v>39.5</v>
      </c>
    </row>
    <row r="30" spans="1:2" x14ac:dyDescent="0.25">
      <c r="A30" s="12" t="s">
        <v>214</v>
      </c>
      <c r="B30">
        <v>39.5</v>
      </c>
    </row>
    <row r="31" spans="1:2" x14ac:dyDescent="0.25">
      <c r="A31" s="12" t="s">
        <v>198</v>
      </c>
      <c r="B31">
        <v>39.5</v>
      </c>
    </row>
    <row r="32" spans="1:2" x14ac:dyDescent="0.25">
      <c r="A32" s="12" t="s">
        <v>203</v>
      </c>
      <c r="B32">
        <v>39</v>
      </c>
    </row>
    <row r="33" spans="1:2" x14ac:dyDescent="0.25">
      <c r="A33" s="12" t="s">
        <v>84</v>
      </c>
      <c r="B33">
        <v>39</v>
      </c>
    </row>
    <row r="34" spans="1:2" x14ac:dyDescent="0.25">
      <c r="A34" s="12" t="s">
        <v>168</v>
      </c>
      <c r="B34">
        <v>39</v>
      </c>
    </row>
    <row r="35" spans="1:2" x14ac:dyDescent="0.25">
      <c r="A35" s="12" t="s">
        <v>209</v>
      </c>
      <c r="B35">
        <v>38.5</v>
      </c>
    </row>
    <row r="36" spans="1:2" x14ac:dyDescent="0.25">
      <c r="A36" s="12" t="s">
        <v>160</v>
      </c>
      <c r="B36">
        <v>38.5</v>
      </c>
    </row>
    <row r="37" spans="1:2" x14ac:dyDescent="0.25">
      <c r="A37" s="12" t="s">
        <v>181</v>
      </c>
      <c r="B37">
        <v>38.5</v>
      </c>
    </row>
    <row r="38" spans="1:2" x14ac:dyDescent="0.25">
      <c r="A38" s="12" t="s">
        <v>184</v>
      </c>
      <c r="B38">
        <v>38.5</v>
      </c>
    </row>
    <row r="39" spans="1:2" x14ac:dyDescent="0.25">
      <c r="A39" s="12" t="s">
        <v>187</v>
      </c>
      <c r="B39">
        <v>37.5</v>
      </c>
    </row>
    <row r="40" spans="1:2" x14ac:dyDescent="0.25">
      <c r="A40" s="12" t="s">
        <v>215</v>
      </c>
      <c r="B40">
        <v>37.5</v>
      </c>
    </row>
    <row r="41" spans="1:2" x14ac:dyDescent="0.25">
      <c r="A41" s="12" t="s">
        <v>163</v>
      </c>
      <c r="B41">
        <v>37.5</v>
      </c>
    </row>
    <row r="42" spans="1:2" x14ac:dyDescent="0.25">
      <c r="A42" s="12" t="s">
        <v>153</v>
      </c>
      <c r="B42">
        <v>36.5</v>
      </c>
    </row>
    <row r="43" spans="1:2" x14ac:dyDescent="0.25">
      <c r="A43" s="12" t="s">
        <v>178</v>
      </c>
      <c r="B43">
        <v>36.5</v>
      </c>
    </row>
    <row r="44" spans="1:2" x14ac:dyDescent="0.25">
      <c r="A44" s="12" t="s">
        <v>182</v>
      </c>
      <c r="B44">
        <v>36</v>
      </c>
    </row>
    <row r="45" spans="1:2" x14ac:dyDescent="0.25">
      <c r="A45" s="12" t="s">
        <v>213</v>
      </c>
      <c r="B45">
        <v>34.5</v>
      </c>
    </row>
    <row r="46" spans="1:2" x14ac:dyDescent="0.25">
      <c r="A46" s="12" t="s">
        <v>170</v>
      </c>
      <c r="B46">
        <v>34.5</v>
      </c>
    </row>
    <row r="47" spans="1:2" x14ac:dyDescent="0.25">
      <c r="A47" s="12" t="s">
        <v>172</v>
      </c>
      <c r="B47">
        <v>34.5</v>
      </c>
    </row>
    <row r="48" spans="1:2" x14ac:dyDescent="0.25">
      <c r="A48" s="12" t="s">
        <v>175</v>
      </c>
      <c r="B48">
        <v>32.5</v>
      </c>
    </row>
    <row r="49" spans="1:2" x14ac:dyDescent="0.25">
      <c r="A49" s="12" t="s">
        <v>140</v>
      </c>
      <c r="B49">
        <v>28.5</v>
      </c>
    </row>
    <row r="50" spans="1:2" x14ac:dyDescent="0.25">
      <c r="A50" s="12" t="s">
        <v>245</v>
      </c>
      <c r="B50">
        <v>1906</v>
      </c>
    </row>
  </sheetData>
  <autoFilter ref="A1:B49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A47"/>
  <sheetViews>
    <sheetView workbookViewId="0">
      <selection activeCell="A10" sqref="A10"/>
    </sheetView>
  </sheetViews>
  <sheetFormatPr baseColWidth="10" defaultColWidth="10.7109375" defaultRowHeight="15" x14ac:dyDescent="0.25"/>
  <cols>
    <col min="1" max="1" width="19.42578125" bestFit="1" customWidth="1"/>
  </cols>
  <sheetData>
    <row r="1" spans="1:1" x14ac:dyDescent="0.25">
      <c r="A1" t="s">
        <v>90</v>
      </c>
    </row>
    <row r="2" spans="1:1" x14ac:dyDescent="0.25">
      <c r="A2" t="s">
        <v>119</v>
      </c>
    </row>
    <row r="3" spans="1:1" x14ac:dyDescent="0.25">
      <c r="A3" t="s">
        <v>97</v>
      </c>
    </row>
    <row r="4" spans="1:1" x14ac:dyDescent="0.25">
      <c r="A4" t="s">
        <v>117</v>
      </c>
    </row>
    <row r="5" spans="1:1" x14ac:dyDescent="0.25">
      <c r="A5" t="s">
        <v>95</v>
      </c>
    </row>
    <row r="6" spans="1:1" x14ac:dyDescent="0.25">
      <c r="A6" t="s">
        <v>127</v>
      </c>
    </row>
    <row r="7" spans="1:1" x14ac:dyDescent="0.25">
      <c r="A7" t="s">
        <v>107</v>
      </c>
    </row>
    <row r="8" spans="1:1" x14ac:dyDescent="0.25">
      <c r="A8" t="s">
        <v>92</v>
      </c>
    </row>
    <row r="9" spans="1:1" x14ac:dyDescent="0.25">
      <c r="A9" t="s">
        <v>246</v>
      </c>
    </row>
    <row r="10" spans="1:1" x14ac:dyDescent="0.25">
      <c r="A10" t="s">
        <v>88</v>
      </c>
    </row>
    <row r="11" spans="1:1" x14ac:dyDescent="0.25">
      <c r="A11" t="s">
        <v>99</v>
      </c>
    </row>
    <row r="12" spans="1:1" x14ac:dyDescent="0.25">
      <c r="A12" t="s">
        <v>143</v>
      </c>
    </row>
    <row r="13" spans="1:1" x14ac:dyDescent="0.25">
      <c r="A13" t="s">
        <v>108</v>
      </c>
    </row>
    <row r="14" spans="1:1" x14ac:dyDescent="0.25">
      <c r="A14" t="s">
        <v>98</v>
      </c>
    </row>
    <row r="15" spans="1:1" x14ac:dyDescent="0.25">
      <c r="A15" t="s">
        <v>114</v>
      </c>
    </row>
    <row r="16" spans="1:1" x14ac:dyDescent="0.25">
      <c r="A16" t="s">
        <v>109</v>
      </c>
    </row>
    <row r="17" spans="1:1" x14ac:dyDescent="0.25">
      <c r="A17" t="s">
        <v>142</v>
      </c>
    </row>
    <row r="18" spans="1:1" x14ac:dyDescent="0.25">
      <c r="A18" t="s">
        <v>104</v>
      </c>
    </row>
    <row r="19" spans="1:1" x14ac:dyDescent="0.25">
      <c r="A19" t="s">
        <v>102</v>
      </c>
    </row>
    <row r="20" spans="1:1" x14ac:dyDescent="0.25">
      <c r="A20" t="s">
        <v>112</v>
      </c>
    </row>
    <row r="21" spans="1:1" x14ac:dyDescent="0.25">
      <c r="A21" t="s">
        <v>93</v>
      </c>
    </row>
    <row r="22" spans="1:1" x14ac:dyDescent="0.25">
      <c r="A22" t="s">
        <v>89</v>
      </c>
    </row>
    <row r="23" spans="1:1" x14ac:dyDescent="0.25">
      <c r="A23" t="s">
        <v>94</v>
      </c>
    </row>
    <row r="24" spans="1:1" x14ac:dyDescent="0.25">
      <c r="A24" t="s">
        <v>121</v>
      </c>
    </row>
    <row r="25" spans="1:1" x14ac:dyDescent="0.25">
      <c r="A25" t="s">
        <v>171</v>
      </c>
    </row>
    <row r="26" spans="1:1" x14ac:dyDescent="0.25">
      <c r="A26" t="s">
        <v>116</v>
      </c>
    </row>
    <row r="27" spans="1:1" x14ac:dyDescent="0.25">
      <c r="A27" t="s">
        <v>115</v>
      </c>
    </row>
    <row r="28" spans="1:1" x14ac:dyDescent="0.25">
      <c r="A28" t="s">
        <v>144</v>
      </c>
    </row>
    <row r="29" spans="1:1" x14ac:dyDescent="0.25">
      <c r="A29" t="s">
        <v>100</v>
      </c>
    </row>
    <row r="30" spans="1:1" x14ac:dyDescent="0.25">
      <c r="A30" t="s">
        <v>86</v>
      </c>
    </row>
    <row r="31" spans="1:1" x14ac:dyDescent="0.25">
      <c r="A31" t="s">
        <v>118</v>
      </c>
    </row>
    <row r="32" spans="1:1" x14ac:dyDescent="0.25">
      <c r="A32" t="s">
        <v>139</v>
      </c>
    </row>
    <row r="33" spans="1:1" x14ac:dyDescent="0.25">
      <c r="A33" t="s">
        <v>145</v>
      </c>
    </row>
    <row r="34" spans="1:1" x14ac:dyDescent="0.25">
      <c r="A34" t="s">
        <v>91</v>
      </c>
    </row>
    <row r="35" spans="1:1" x14ac:dyDescent="0.25">
      <c r="A35" t="s">
        <v>113</v>
      </c>
    </row>
    <row r="36" spans="1:1" x14ac:dyDescent="0.25">
      <c r="A36" t="s">
        <v>96</v>
      </c>
    </row>
    <row r="37" spans="1:1" x14ac:dyDescent="0.25">
      <c r="A37" t="s">
        <v>126</v>
      </c>
    </row>
    <row r="38" spans="1:1" x14ac:dyDescent="0.25">
      <c r="A38" t="s">
        <v>128</v>
      </c>
    </row>
    <row r="39" spans="1:1" x14ac:dyDescent="0.25">
      <c r="A39" t="s">
        <v>110</v>
      </c>
    </row>
    <row r="40" spans="1:1" x14ac:dyDescent="0.25">
      <c r="A40" t="s">
        <v>106</v>
      </c>
    </row>
    <row r="41" spans="1:1" x14ac:dyDescent="0.25">
      <c r="A41" t="s">
        <v>131</v>
      </c>
    </row>
    <row r="42" spans="1:1" x14ac:dyDescent="0.25">
      <c r="A42" t="s">
        <v>103</v>
      </c>
    </row>
    <row r="43" spans="1:1" x14ac:dyDescent="0.25">
      <c r="A43" t="s">
        <v>87</v>
      </c>
    </row>
    <row r="44" spans="1:1" x14ac:dyDescent="0.25">
      <c r="A44" t="s">
        <v>132</v>
      </c>
    </row>
    <row r="45" spans="1:1" x14ac:dyDescent="0.25">
      <c r="A45" t="s">
        <v>101</v>
      </c>
    </row>
    <row r="46" spans="1:1" x14ac:dyDescent="0.25">
      <c r="A46" t="s">
        <v>105</v>
      </c>
    </row>
    <row r="47" spans="1:1" x14ac:dyDescent="0.25">
      <c r="A47" t="s">
        <v>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Resultats Reals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2026-06-22T10:09:36Z</dcterms:modified>
</cp:coreProperties>
</file>